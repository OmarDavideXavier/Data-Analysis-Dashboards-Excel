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EsteLivro" hidePivotFieldList="1"/>
  <mc:AlternateContent xmlns:mc="http://schemas.openxmlformats.org/markup-compatibility/2006">
    <mc:Choice Requires="x15">
      <x15ac:absPath xmlns:x15ac="http://schemas.microsoft.com/office/spreadsheetml/2010/11/ac" url="D:\CursosOmar\Curso Excel\"/>
    </mc:Choice>
  </mc:AlternateContent>
  <xr:revisionPtr revIDLastSave="0" documentId="13_ncr:1_{0E484F79-6AC0-47B4-B7ED-F8D9D49D5E1D}" xr6:coauthVersionLast="47" xr6:coauthVersionMax="47" xr10:uidLastSave="{00000000-0000-0000-0000-000000000000}"/>
  <bookViews>
    <workbookView xWindow="-120" yWindow="-120" windowWidth="20730" windowHeight="11760" tabRatio="520" activeTab="2" xr2:uid="{E8C91D1F-EE3B-49D6-B0D0-CBB53DFB6F33}"/>
  </bookViews>
  <sheets>
    <sheet name="Base de Dados" sheetId="6" r:id="rId1"/>
    <sheet name="Analises" sheetId="2" r:id="rId2"/>
    <sheet name="Imagens" sheetId="3" r:id="rId3"/>
    <sheet name="Dashboard" sheetId="7" r:id="rId4"/>
    <sheet name="Projecto final imagem" sheetId="5" r:id="rId5"/>
  </sheets>
  <definedNames>
    <definedName name="SegmentaçãoDeDados_Área">#N/A</definedName>
    <definedName name="SegmentaçãoDeDados_Género">#N/A</definedName>
  </definedNames>
  <calcPr calcId="181029"/>
  <pivotCaches>
    <pivotCache cacheId="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2" l="1"/>
  <c r="D23" i="2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I2" i="6"/>
  <c r="I5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</calcChain>
</file>

<file path=xl/sharedStrings.xml><?xml version="1.0" encoding="utf-8"?>
<sst xmlns="http://schemas.openxmlformats.org/spreadsheetml/2006/main" count="477" uniqueCount="166">
  <si>
    <t>Código funcionário</t>
  </si>
  <si>
    <t>Nome Completo</t>
  </si>
  <si>
    <t>Género</t>
  </si>
  <si>
    <t>Área</t>
  </si>
  <si>
    <t>Cargo</t>
  </si>
  <si>
    <t>Salário</t>
  </si>
  <si>
    <t>Data de entrada</t>
  </si>
  <si>
    <t>Data de nascimento</t>
  </si>
  <si>
    <t>Mateus Macamo</t>
  </si>
  <si>
    <t>M</t>
  </si>
  <si>
    <t>Projectos</t>
  </si>
  <si>
    <t>Gerente</t>
  </si>
  <si>
    <t>Teresa Machai</t>
  </si>
  <si>
    <t>F</t>
  </si>
  <si>
    <t>Analista</t>
  </si>
  <si>
    <t>Donaldo Cuambe</t>
  </si>
  <si>
    <t>Elton Albino</t>
  </si>
  <si>
    <t>Marketing</t>
  </si>
  <si>
    <t>João Moaine</t>
  </si>
  <si>
    <t>Denny Mariquele</t>
  </si>
  <si>
    <t>Reginaldo Novela</t>
  </si>
  <si>
    <t>RH</t>
  </si>
  <si>
    <t>Alexandre Bila</t>
  </si>
  <si>
    <t>Financeiro</t>
  </si>
  <si>
    <t>Luisa Manhiça</t>
  </si>
  <si>
    <t>Directoria</t>
  </si>
  <si>
    <t>Margarita Laise</t>
  </si>
  <si>
    <t>Director</t>
  </si>
  <si>
    <t>Omar Anlaué</t>
  </si>
  <si>
    <t>Comercial</t>
  </si>
  <si>
    <t>Estagiário</t>
  </si>
  <si>
    <t>Engenharia</t>
  </si>
  <si>
    <t>Alves Gonçalves</t>
  </si>
  <si>
    <t>Jurídico</t>
  </si>
  <si>
    <t>Teresa Chianane</t>
  </si>
  <si>
    <t>Coordenador</t>
  </si>
  <si>
    <t>Zeferina Mulungane</t>
  </si>
  <si>
    <t>Lucia Vinagre</t>
  </si>
  <si>
    <t>Ana Matavele</t>
  </si>
  <si>
    <t>Domingos Hureias</t>
  </si>
  <si>
    <t>Alberto Muthemba</t>
  </si>
  <si>
    <t>Jose Jr</t>
  </si>
  <si>
    <t>Tchiany Langa</t>
  </si>
  <si>
    <t>Levado Pires</t>
  </si>
  <si>
    <t>Hamedy Sualehe</t>
  </si>
  <si>
    <t>Veronica Uaieva</t>
  </si>
  <si>
    <t>Ibrahimo Omar</t>
  </si>
  <si>
    <t>Mauro Julia</t>
  </si>
  <si>
    <t>Helder Fogueiro</t>
  </si>
  <si>
    <t>Enoque Chitsumba</t>
  </si>
  <si>
    <t>Adam Mauaie</t>
  </si>
  <si>
    <t>Dério Nhalala</t>
  </si>
  <si>
    <t>Etelvina Xlhaisse</t>
  </si>
  <si>
    <t>Elisa Sitoe</t>
  </si>
  <si>
    <t>Félix Mungaze</t>
  </si>
  <si>
    <t>Salimini Mussa</t>
  </si>
  <si>
    <t>Noila Sibia</t>
  </si>
  <si>
    <t>Domingos Juvencio</t>
  </si>
  <si>
    <t>Natacha Macamo</t>
  </si>
  <si>
    <t>Eulalio Macuacua</t>
  </si>
  <si>
    <t>Marcela Cuambe</t>
  </si>
  <si>
    <t>Assane Rassul</t>
  </si>
  <si>
    <t>Ivan Malaia</t>
  </si>
  <si>
    <t>Alfredo Gotine</t>
  </si>
  <si>
    <t>Samuel Nhatave</t>
  </si>
  <si>
    <t>Piderio Napoliao</t>
  </si>
  <si>
    <t>Emilia Dimande</t>
  </si>
  <si>
    <t>Faira Neve</t>
  </si>
  <si>
    <t>Arsénia Cumbe</t>
  </si>
  <si>
    <t>Yolanda Mathombe</t>
  </si>
  <si>
    <t>Cremilde Zandamela</t>
  </si>
  <si>
    <t>Simione Cuambe</t>
  </si>
  <si>
    <t>Samuel Bié</t>
  </si>
  <si>
    <t>Graça Nhachengo</t>
  </si>
  <si>
    <t>Elias Chavane</t>
  </si>
  <si>
    <t>Maura Massigue</t>
  </si>
  <si>
    <t>Juvenal Manhique</t>
  </si>
  <si>
    <t>Liliane Chambane</t>
  </si>
  <si>
    <t>Hélio Mungoi</t>
  </si>
  <si>
    <t>Elias Todo</t>
  </si>
  <si>
    <t>Delcia Palmira</t>
  </si>
  <si>
    <t>Bety Cuna</t>
  </si>
  <si>
    <t>Jacob Honwana</t>
  </si>
  <si>
    <t>Francisco Chongo</t>
  </si>
  <si>
    <t>Jércia Tembe</t>
  </si>
  <si>
    <t>Ayres Lichucha</t>
  </si>
  <si>
    <t>Neima Guiamba</t>
  </si>
  <si>
    <t>Jose zeca</t>
  </si>
  <si>
    <t>Carlitos Lopes</t>
  </si>
  <si>
    <t>Liedson Gove</t>
  </si>
  <si>
    <t>Débora Chivulele</t>
  </si>
  <si>
    <t>Micia Magenge</t>
  </si>
  <si>
    <t>Milton Cambula</t>
  </si>
  <si>
    <t>Rute Gove</t>
  </si>
  <si>
    <t>Helena Fulane</t>
  </si>
  <si>
    <t>Angela Jeco</t>
  </si>
  <si>
    <t>Mertchi Dique</t>
  </si>
  <si>
    <t>ElIsio Zia</t>
  </si>
  <si>
    <t>Julio Mutole</t>
  </si>
  <si>
    <t>Nelton Mussunda</t>
  </si>
  <si>
    <t>Alssen Roldao</t>
  </si>
  <si>
    <t>Shelsia Macuacua</t>
  </si>
  <si>
    <t>Isaque Araújo</t>
  </si>
  <si>
    <t>Luís Queco</t>
  </si>
  <si>
    <t>Evanilson Maibassi</t>
  </si>
  <si>
    <t>Estevão António</t>
  </si>
  <si>
    <t>Natacha Chilaule</t>
  </si>
  <si>
    <t>Écita Mahalambe</t>
  </si>
  <si>
    <t>Júlio Ngulela</t>
  </si>
  <si>
    <t>Márcia Maulene</t>
  </si>
  <si>
    <t>Abdul Mulau</t>
  </si>
  <si>
    <t>Neima Chiboleca</t>
  </si>
  <si>
    <t>Luisa Combane</t>
  </si>
  <si>
    <t>Érica Macucule</t>
  </si>
  <si>
    <t>Alfredo Machava</t>
  </si>
  <si>
    <t>Zecas Macandza</t>
  </si>
  <si>
    <t>Maria Tchemo</t>
  </si>
  <si>
    <t>Aristides chipanga</t>
  </si>
  <si>
    <t>Jelcia Cossa</t>
  </si>
  <si>
    <t>Dionisio Mucale</t>
  </si>
  <si>
    <t>Alexandre Wate</t>
  </si>
  <si>
    <t>Bernardo Chovo</t>
  </si>
  <si>
    <t xml:space="preserve">Lucília Sérgio </t>
  </si>
  <si>
    <t>Filtro</t>
  </si>
  <si>
    <t>Análises</t>
  </si>
  <si>
    <t>Total de Funcionários</t>
  </si>
  <si>
    <t>Total de Salário</t>
  </si>
  <si>
    <t>Qtd de Funcionario por Área</t>
  </si>
  <si>
    <t>Qtd deFuncionário por Cargo</t>
  </si>
  <si>
    <t>Qtd Funcionário por Idade</t>
  </si>
  <si>
    <t>Qtd Funcionário por Tempo de Casa</t>
  </si>
  <si>
    <t>Salário Por Cargo</t>
  </si>
  <si>
    <t>Qtd Funcionário por Género</t>
  </si>
  <si>
    <t>FUNCIONÁRIO X ARÉA</t>
  </si>
  <si>
    <t>FUNCIONÁRIOS X CARGO</t>
  </si>
  <si>
    <t>FUNCIONÁRIO X IDADE</t>
  </si>
  <si>
    <t>FUNCIONÁRIO X TEMPO NA EMPRESA</t>
  </si>
  <si>
    <t>SALÁRIO X CARGO</t>
  </si>
  <si>
    <t>FUNCIONÁRIO X GENÉRO</t>
  </si>
  <si>
    <t>TOTAL DE FUNCIONÁRIOS</t>
  </si>
  <si>
    <t>TOTAL DE SALÁRIO</t>
  </si>
  <si>
    <t>Total Geral</t>
  </si>
  <si>
    <t>Soma de Salário</t>
  </si>
  <si>
    <t>ARÉA</t>
  </si>
  <si>
    <t>DETALHES IMPORTANTES</t>
  </si>
  <si>
    <t>CARGO</t>
  </si>
  <si>
    <t>Idade</t>
  </si>
  <si>
    <t>FUNCIONÁRIO</t>
  </si>
  <si>
    <t>IDADE</t>
  </si>
  <si>
    <t>Tempo na Empresa</t>
  </si>
  <si>
    <t>Contagem de Área</t>
  </si>
  <si>
    <t>3-4</t>
  </si>
  <si>
    <t>5-6</t>
  </si>
  <si>
    <t>Contagem de Idade</t>
  </si>
  <si>
    <t>39-42</t>
  </si>
  <si>
    <t>47-51</t>
  </si>
  <si>
    <t xml:space="preserve"> </t>
  </si>
  <si>
    <t>GENERO</t>
  </si>
  <si>
    <t xml:space="preserve">TOTAL DE SALÁRIO </t>
  </si>
  <si>
    <t>TOTAL FUNCIONÁRIOS</t>
  </si>
  <si>
    <t>Contagem de Genero</t>
  </si>
  <si>
    <t>Soma de Genero</t>
  </si>
  <si>
    <t>SALÁRIO X GENÉRO(TOTAL SALARIO)</t>
  </si>
  <si>
    <t>FUNCIONÁRIO X GENÉRO(TOTAL FUNCIONARIO)</t>
  </si>
  <si>
    <t>`</t>
  </si>
  <si>
    <t>43-46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</si>
</sst>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[&gt;999999]0.0,,&quot;M&quot;;0.0,&quot;K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14" fontId="0" fillId="0" borderId="0" xfId="0" applyNumberFormat="1"/>
    <xf numFmtId="164" fontId="0" fillId="0" borderId="0" xfId="1" applyFont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165" fontId="0" fillId="0" borderId="0" xfId="0" applyNumberFormat="1"/>
    <xf numFmtId="0" fontId="2" fillId="3" borderId="0" xfId="0" applyFont="1" applyFill="1"/>
    <xf numFmtId="0" fontId="5" fillId="3" borderId="0" xfId="0" applyFont="1" applyFill="1"/>
    <xf numFmtId="165" fontId="2" fillId="2" borderId="0" xfId="0" applyNumberFormat="1" applyFont="1" applyFill="1"/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0" borderId="0" xfId="0" applyNumberFormat="1"/>
  </cellXfs>
  <cellStyles count="2">
    <cellStyle name="Normal" xfId="0" builtinId="0"/>
    <cellStyle name="Vírgula" xfId="1" builtinId="3"/>
  </cellStyles>
  <dxfs count="72"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0" formatCode="General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0" formatCode="General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0" formatCode="General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0" formatCode="General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0" formatCode="General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0" formatCode="General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0" formatCode="General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0" formatCode="General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0" formatCode="General"/>
    </dxf>
    <dxf>
      <numFmt numFmtId="165" formatCode="[&gt;999999]0.0,,&quot;M&quot;;0.0,&quot;K&quot;"/>
    </dxf>
    <dxf>
      <numFmt numFmtId="165" formatCode="[&gt;999999]0.0,,&quot;M&quot;;0.0,&quot;K&quot;"/>
    </dxf>
    <dxf>
      <numFmt numFmtId="165" formatCode="[&gt;999999]0.0,,&quot;M&quot;;0.0,&quot;K&quot;"/>
    </dxf>
    <dxf>
      <numFmt numFmtId="0" formatCode="General"/>
    </dxf>
    <dxf>
      <numFmt numFmtId="0" formatCode="General"/>
    </dxf>
    <dxf>
      <numFmt numFmtId="166" formatCode="m/d/yyyy"/>
    </dxf>
    <dxf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color theme="1"/>
      </font>
      <border diagonalUp="1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3743705557422"/>
        </bottom>
        <diagonal style="thin">
          <color theme="0" tint="-0.14996795556505021"/>
        </diagonal>
        <vertical/>
        <horizontal/>
      </border>
    </dxf>
    <dxf>
      <font>
        <color theme="1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10" xr9:uid="{85586932-CC5C-4410-B7EE-5E8E7A26CA59}">
      <tableStyleElement type="wholeTable" dxfId="71"/>
      <tableStyleElement type="headerRow" dxfId="70"/>
    </tableStyle>
    <tableStyle name="SlicerStyleLight1 2 2" pivot="0" table="0" count="10" xr9:uid="{FA3CECCD-B3B4-4493-881D-CE2F5D180696}">
      <tableStyleElement type="wholeTable" dxfId="69"/>
      <tableStyleElement type="headerRow" dxfId="68"/>
    </tableStyle>
  </tableStyles>
  <colors>
    <mruColors>
      <color rgb="FFF36E17"/>
      <color rgb="FFE8E8E8"/>
      <color rgb="FFF0F0F0"/>
      <color rgb="FFF9F9F9"/>
      <color rgb="FFFFFFFF"/>
    </mruColors>
  </colors>
  <extLst>
    <ext xmlns:x14="http://schemas.microsoft.com/office/spreadsheetml/2009/9/main" uri="{46F421CA-312F-682f-3DD2-61675219B42D}">
      <x14:dxfs count="16">
        <dxf>
          <font>
            <b/>
            <i val="0"/>
            <color rgb="FF000000"/>
          </font>
          <fill>
            <patternFill patternType="solid">
              <fgColor auto="1"/>
              <bgColor theme="4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rgb="FF000000"/>
          </font>
          <fill>
            <patternFill patternType="solid">
              <fgColor auto="1"/>
              <bgColor theme="4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rgb="FF000000"/>
          </font>
          <fill>
            <patternFill patternType="solid">
              <fgColor auto="1"/>
              <bgColor theme="4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rgb="FF000000"/>
          </font>
          <fill>
            <patternFill patternType="solid">
              <fgColor auto="1"/>
              <bgColor theme="4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rgb="FF000000"/>
          </font>
          <fill>
            <patternFill patternType="solid">
              <fgColor auto="1"/>
              <bgColor theme="4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1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[DesafioModuloDashboard.xlsx]Analises!FUNCIONÁRIO X ARÉA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054379655206047"/>
          <c:y val="6.8728522336769758E-3"/>
          <c:w val="0.70945620344793947"/>
          <c:h val="0.9890012717482479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Analises!$F$2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Analises!$E$3:$E$4</c:f>
              <c:strCache>
                <c:ptCount val="1"/>
                <c:pt idx="0">
                  <c:v>Marketing</c:v>
                </c:pt>
              </c:strCache>
            </c:strRef>
          </c:cat>
          <c:val>
            <c:numRef>
              <c:f>Analises!$F$3:$F$4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F1-4F74-BEAE-539CACF9A5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4"/>
        <c:axId val="705002351"/>
        <c:axId val="704999951"/>
      </c:barChart>
      <c:catAx>
        <c:axId val="7050023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999951"/>
        <c:crosses val="autoZero"/>
        <c:auto val="1"/>
        <c:lblAlgn val="ctr"/>
        <c:lblOffset val="100"/>
        <c:noMultiLvlLbl val="0"/>
      </c:catAx>
      <c:valAx>
        <c:axId val="7049999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5002351"/>
        <c:crosses val="autoZero"/>
        <c:crossBetween val="between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[DesafioModuloDashboard.xlsx]Analises!FUNCIONÁRIOS X CARGO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5842706961835926E-1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011606598790393E-2"/>
          <c:y val="0"/>
          <c:w val="0.93797678680241925"/>
          <c:h val="0.80033301674786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Analises!$I$2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31-4043-92A9-19ADDA3EE276}"/>
              </c:ext>
            </c:extLst>
          </c:dPt>
          <c:dLbls>
            <c:dLbl>
              <c:idx val="0"/>
              <c:layout>
                <c:manualLayout>
                  <c:x val="-2.5842706961835926E-17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31-4043-92A9-19ADDA3EE2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Analises!$H$3:$H$6</c:f>
              <c:strCache>
                <c:ptCount val="3"/>
                <c:pt idx="0">
                  <c:v>Analista</c:v>
                </c:pt>
                <c:pt idx="1">
                  <c:v>Director</c:v>
                </c:pt>
                <c:pt idx="2">
                  <c:v>Estagiário</c:v>
                </c:pt>
              </c:strCache>
            </c:strRef>
          </c:cat>
          <c:val>
            <c:numRef>
              <c:f>Analises!$I$3:$I$6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6-4FD8-A86C-B4EE4E2DF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9"/>
        <c:axId val="717555103"/>
        <c:axId val="717540223"/>
      </c:barChart>
      <c:catAx>
        <c:axId val="71755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40223"/>
        <c:crosses val="autoZero"/>
        <c:auto val="1"/>
        <c:lblAlgn val="ctr"/>
        <c:lblOffset val="100"/>
        <c:noMultiLvlLbl val="0"/>
      </c:catAx>
      <c:valAx>
        <c:axId val="7175402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1755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[DesafioModuloDashboard.xlsx]Analises!SALÁRIO X CARGO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Analises!$I$11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Analises!$H$12:$H$15</c:f>
              <c:strCache>
                <c:ptCount val="3"/>
                <c:pt idx="0">
                  <c:v>Analista</c:v>
                </c:pt>
                <c:pt idx="1">
                  <c:v>Director</c:v>
                </c:pt>
                <c:pt idx="2">
                  <c:v>Estagiário</c:v>
                </c:pt>
              </c:strCache>
            </c:strRef>
          </c:cat>
          <c:val>
            <c:numRef>
              <c:f>Analises!$I$12:$I$15</c:f>
              <c:numCache>
                <c:formatCode>[&gt;999999]0.0\ \ "M";0.0\ "K"</c:formatCode>
                <c:ptCount val="3"/>
                <c:pt idx="0">
                  <c:v>66780</c:v>
                </c:pt>
                <c:pt idx="1">
                  <c:v>47785</c:v>
                </c:pt>
                <c:pt idx="2">
                  <c:v>18940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2-4414-BA8E-B932D47D0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9"/>
        <c:axId val="704998031"/>
        <c:axId val="705005711"/>
      </c:barChart>
      <c:catAx>
        <c:axId val="70499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005711"/>
        <c:crosses val="autoZero"/>
        <c:auto val="1"/>
        <c:lblAlgn val="ctr"/>
        <c:lblOffset val="100"/>
        <c:noMultiLvlLbl val="0"/>
      </c:catAx>
      <c:valAx>
        <c:axId val="705005711"/>
        <c:scaling>
          <c:orientation val="minMax"/>
        </c:scaling>
        <c:delete val="1"/>
        <c:axPos val="l"/>
        <c:numFmt formatCode="[&gt;999999]0.0\ \ &quot;M&quot;;0.0\ &quot;K&quot;" sourceLinked="1"/>
        <c:majorTickMark val="none"/>
        <c:minorTickMark val="none"/>
        <c:tickLblPos val="nextTo"/>
        <c:crossAx val="70499803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[DesafioModuloDashboard.xlsx]Analises!FUNCIONÁRIO X GENÉRO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>
                <a:alpha val="69804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FFFFFF">
                <a:alpha val="69804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  <c15:layout>
                <c:manualLayout>
                  <c:w val="0.2085641025641026"/>
                  <c:h val="0.3822516556291391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>
              <a:outerShdw blurRad="50800" dist="50800" dir="5400000" algn="ctr" rotWithShape="0">
                <a:srgbClr val="000000">
                  <a:alpha val="99000"/>
                </a:srgbClr>
              </a:outerShdw>
            </a:effectLst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spPr>
            <a:solidFill>
              <a:srgbClr val="FFFFFF">
                <a:alpha val="69804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8"/>
        <c:spPr>
          <a:solidFill>
            <a:srgbClr val="F36E2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FFFFFF">
                <a:alpha val="69804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  <c15:layout>
                <c:manualLayout>
                  <c:w val="0.2085641025641026"/>
                  <c:h val="0.3822516556291391"/>
                </c:manualLayout>
              </c15:layout>
            </c:ext>
          </c:extLst>
        </c:dLbl>
      </c:pivotFmt>
      <c:pivotFmt>
        <c:idx val="9"/>
        <c:spPr>
          <a:solidFill>
            <a:sysClr val="window" lastClr="FFFFFF">
              <a:lumMod val="65000"/>
            </a:sys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marker>
          <c:symbol val="none"/>
        </c:marker>
        <c:dLbl>
          <c:idx val="0"/>
          <c:spPr>
            <a:solidFill>
              <a:srgbClr val="FFFFFF">
                <a:alpha val="69804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1"/>
        <c:spPr>
          <a:solidFill>
            <a:srgbClr val="F36E2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FFFFFF">
                <a:alpha val="69804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  <c15:layout>
                <c:manualLayout>
                  <c:w val="0.2085641025641026"/>
                  <c:h val="0.3822516556291391"/>
                </c:manualLayout>
              </c15:layout>
            </c:ext>
          </c:extLst>
        </c:dLbl>
      </c:pivotFmt>
      <c:pivotFmt>
        <c:idx val="12"/>
        <c:spPr>
          <a:solidFill>
            <a:sysClr val="window" lastClr="FFFFFF">
              <a:lumMod val="65000"/>
            </a:sys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ln>
            <a:noFill/>
          </a:ln>
        </c:spPr>
        <c:marker>
          <c:symbol val="none"/>
        </c:marker>
        <c:dLbl>
          <c:idx val="0"/>
          <c:spPr>
            <a:solidFill>
              <a:srgbClr val="FFFFFF">
                <a:alpha val="69804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4"/>
        <c:spPr>
          <a:solidFill>
            <a:srgbClr val="F36E21"/>
          </a:solidFill>
          <a:ln w="19050">
            <a:noFill/>
          </a:ln>
          <a:effectLst/>
        </c:spPr>
        <c:dLbl>
          <c:idx val="0"/>
          <c:spPr>
            <a:solidFill>
              <a:srgbClr val="FFFFFF">
                <a:alpha val="69804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  <c15:layout>
                <c:manualLayout>
                  <c:w val="0.20320694555582877"/>
                  <c:h val="0.51082224786895869"/>
                </c:manualLayout>
              </c15:layout>
            </c:ext>
          </c:extLst>
        </c:dLbl>
      </c:pivotFmt>
      <c:pivotFmt>
        <c:idx val="15"/>
        <c:spPr>
          <a:solidFill>
            <a:sysClr val="window" lastClr="FFFFFF">
              <a:lumMod val="65000"/>
            </a:sysClr>
          </a:solidFill>
          <a:ln w="19050"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8910599636583889"/>
          <c:y val="0"/>
          <c:w val="0.67147311205863414"/>
          <c:h val="1"/>
        </c:manualLayout>
      </c:layout>
      <c:doughnutChart>
        <c:varyColors val="1"/>
        <c:ser>
          <c:idx val="0"/>
          <c:order val="0"/>
          <c:tx>
            <c:strRef>
              <c:f>Analises!$L$16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F36E2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915-43E8-94EF-98055CD3496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0915-43E8-94EF-98055CD3496C}"/>
              </c:ext>
            </c:extLst>
          </c:dPt>
          <c:dLbls>
            <c:dLbl>
              <c:idx val="0"/>
              <c:spPr>
                <a:solidFill>
                  <a:srgbClr val="FFFFFF">
                    <a:alpha val="69804"/>
                  </a:srgb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non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20320694555582877"/>
                      <c:h val="0.510822247868958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915-43E8-94EF-98055CD3496C}"/>
                </c:ext>
              </c:extLst>
            </c:dLbl>
            <c:spPr>
              <a:solidFill>
                <a:srgbClr val="FFFFFF">
                  <a:alpha val="69804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non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Analises!$K$17:$K$18</c:f>
              <c:strCache>
                <c:ptCount val="1"/>
                <c:pt idx="0">
                  <c:v>F</c:v>
                </c:pt>
              </c:strCache>
            </c:strRef>
          </c:cat>
          <c:val>
            <c:numRef>
              <c:f>Analises!$L$17:$L$18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15-43E8-94EF-98055CD349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4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[DesafioModuloDashboard.xlsx]Analises!FUNCIONÁRIO X TEMPO NA EMPRESA</c:name>
    <c:fmtId val="3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113242406477462E-2"/>
          <c:y val="5.8114194391980241E-2"/>
          <c:w val="0.95119616366834059"/>
          <c:h val="0.677491388689010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Analises!$L$9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Analises!$K$10:$K$12</c:f>
              <c:strCache>
                <c:ptCount val="2"/>
                <c:pt idx="0">
                  <c:v>3-4</c:v>
                </c:pt>
                <c:pt idx="1">
                  <c:v>5-6</c:v>
                </c:pt>
              </c:strCache>
            </c:strRef>
          </c:cat>
          <c:val>
            <c:numRef>
              <c:f>Analises!$L$10:$L$12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17-4DEE-9750-6B46B1A4E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550303"/>
        <c:axId val="717554623"/>
      </c:barChart>
      <c:catAx>
        <c:axId val="7175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54623"/>
        <c:crosses val="autoZero"/>
        <c:auto val="1"/>
        <c:lblAlgn val="ctr"/>
        <c:lblOffset val="100"/>
        <c:noMultiLvlLbl val="0"/>
      </c:catAx>
      <c:valAx>
        <c:axId val="7175546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1755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[DesafioModuloDashboard.xlsx]Analises!FUNCIONÁRIO X IDADE</c:name>
    <c:fmtId val="3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7394234021869669E-3"/>
          <c:y val="5.8114194391980241E-2"/>
          <c:w val="0.97456978594478871"/>
          <c:h val="0.693199176257413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Analises!$L$2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Analises!$K$3:$K$6</c:f>
              <c:strCache>
                <c:ptCount val="3"/>
                <c:pt idx="0">
                  <c:v>39-42</c:v>
                </c:pt>
                <c:pt idx="1">
                  <c:v>43-46</c:v>
                </c:pt>
                <c:pt idx="2">
                  <c:v>47-51</c:v>
                </c:pt>
              </c:strCache>
            </c:strRef>
          </c:cat>
          <c:val>
            <c:numRef>
              <c:f>Analises!$L$3:$L$6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D-41ED-8542-A102CC902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9"/>
        <c:axId val="717550303"/>
        <c:axId val="717554623"/>
      </c:barChart>
      <c:catAx>
        <c:axId val="7175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54623"/>
        <c:crosses val="autoZero"/>
        <c:auto val="1"/>
        <c:lblAlgn val="ctr"/>
        <c:lblOffset val="100"/>
        <c:noMultiLvlLbl val="0"/>
      </c:catAx>
      <c:valAx>
        <c:axId val="7175546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1755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ashboard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microsoft.com/office/2007/relationships/hdphoto" Target="../media/hdphoto1.wdp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openxmlformats.org/officeDocument/2006/relationships/chart" Target="../charts/chart5.xml"/><Relationship Id="rId3" Type="http://schemas.openxmlformats.org/officeDocument/2006/relationships/image" Target="../media/image6.png"/><Relationship Id="rId7" Type="http://schemas.openxmlformats.org/officeDocument/2006/relationships/chart" Target="../charts/chart3.xml"/><Relationship Id="rId12" Type="http://schemas.openxmlformats.org/officeDocument/2006/relationships/image" Target="../media/image7.png"/><Relationship Id="rId2" Type="http://schemas.microsoft.com/office/2007/relationships/hdphoto" Target="../media/hdphoto1.wdp"/><Relationship Id="rId1" Type="http://schemas.openxmlformats.org/officeDocument/2006/relationships/image" Target="../media/image2.png"/><Relationship Id="rId6" Type="http://schemas.openxmlformats.org/officeDocument/2006/relationships/chart" Target="../charts/chart2.xml"/><Relationship Id="rId11" Type="http://schemas.openxmlformats.org/officeDocument/2006/relationships/hyperlink" Target="#'Base de Dados'!A1"/><Relationship Id="rId5" Type="http://schemas.openxmlformats.org/officeDocument/2006/relationships/chart" Target="../charts/chart1.xml"/><Relationship Id="rId10" Type="http://schemas.openxmlformats.org/officeDocument/2006/relationships/image" Target="../media/image4.png"/><Relationship Id="rId4" Type="http://schemas.openxmlformats.org/officeDocument/2006/relationships/image" Target="../media/image5.png"/><Relationship Id="rId9" Type="http://schemas.openxmlformats.org/officeDocument/2006/relationships/image" Target="../media/image3.png"/><Relationship Id="rId1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190500</xdr:colOff>
      <xdr:row>8</xdr:row>
      <xdr:rowOff>67235</xdr:rowOff>
    </xdr:from>
    <xdr:to>
      <xdr:col>13</xdr:col>
      <xdr:colOff>487975</xdr:colOff>
      <xdr:row>13</xdr:row>
      <xdr:rowOff>73664</xdr:rowOff>
    </xdr:to>
    <xdr:pic>
      <xdr:nvPicPr>
        <xdr:cNvPr id="2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AB255B-236E-45A8-8C30-02CD7F3A8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36E17">
              <a:tint val="45000"/>
              <a:satMod val="400000"/>
            </a:srgbClr>
          </a:duotone>
        </a:blip>
        <a:stretch>
          <a:fillRect/>
        </a:stretch>
      </xdr:blipFill>
      <xdr:spPr>
        <a:xfrm>
          <a:off x="11239500" y="1591235"/>
          <a:ext cx="902593" cy="9589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488950</xdr:colOff>
      <xdr:row>2</xdr:row>
      <xdr:rowOff>82549</xdr:rowOff>
    </xdr:from>
    <xdr:to>
      <xdr:col>2</xdr:col>
      <xdr:colOff>107950</xdr:colOff>
      <xdr:row>7</xdr:row>
      <xdr:rowOff>6349</xdr:rowOff>
    </xdr:to>
    <xdr:pic>
      <xdr:nvPicPr>
        <xdr:cNvPr id="2" name="Picture 1" descr="bci-logo - Superbrands Moçambique">
          <a:extLst>
            <a:ext uri="{FF2B5EF4-FFF2-40B4-BE49-F238E27FC236}">
              <a16:creationId xmlns:a16="http://schemas.microsoft.com/office/drawing/2014/main" id="{8A493E35-C92B-42AE-AA09-CDFD0DAB27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27333" y1="59333" x2="53333" y2="51333"/>
                      <a14:foregroundMark x1="61000" y1="57333" x2="17333" y2="30667"/>
                      <a14:foregroundMark x1="17333" y1="30667" x2="17333" y2="29667"/>
                      <a14:foregroundMark x1="21333" y1="47667" x2="32000" y2="61333"/>
                      <a14:foregroundMark x1="52333" y1="61333" x2="32000" y2="56333"/>
                      <a14:foregroundMark x1="52333" y1="58333" x2="59333" y2="25667"/>
                      <a14:foregroundMark x1="59333" y1="54333" x2="59333" y2="20667"/>
                      <a14:foregroundMark x1="63000" y1="32667" x2="76667" y2="44667"/>
                      <a14:foregroundMark x1="69000" y1="56333" x2="45667" y2="34667"/>
                      <a14:foregroundMark x1="62000" y1="67333" x2="49667" y2="49667"/>
                      <a14:foregroundMark x1="49667" y1="49667" x2="49667" y2="49667"/>
                      <a14:foregroundMark x1="48667" y1="75333" x2="74667" y2="74333"/>
                      <a14:foregroundMark x1="10667" y1="67333" x2="10667" y2="186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4" t="6955" r="8442" b="6599"/>
        <a:stretch/>
      </xdr:blipFill>
      <xdr:spPr bwMode="auto">
        <a:xfrm>
          <a:off x="7804150" y="450849"/>
          <a:ext cx="838200" cy="84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361057</xdr:colOff>
      <xdr:row>3</xdr:row>
      <xdr:rowOff>121930</xdr:rowOff>
    </xdr:from>
    <xdr:to>
      <xdr:col>5</xdr:col>
      <xdr:colOff>103583</xdr:colOff>
      <xdr:row>5</xdr:row>
      <xdr:rowOff>91628</xdr:rowOff>
    </xdr:to>
    <xdr:pic>
      <xdr:nvPicPr>
        <xdr:cNvPr id="5" name="Picture 4" descr="Free Male Symbol SVG, PNG Icon. Download Image.">
          <a:extLst>
            <a:ext uri="{FF2B5EF4-FFF2-40B4-BE49-F238E27FC236}">
              <a16:creationId xmlns:a16="http://schemas.microsoft.com/office/drawing/2014/main" id="{CA036A18-46C3-4529-BB27-6D0389990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9457" y="674380"/>
          <a:ext cx="352126" cy="337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71317</xdr:colOff>
      <xdr:row>8</xdr:row>
      <xdr:rowOff>40193</xdr:rowOff>
    </xdr:from>
    <xdr:to>
      <xdr:col>1</xdr:col>
      <xdr:colOff>454062</xdr:colOff>
      <xdr:row>10</xdr:row>
      <xdr:rowOff>62239</xdr:rowOff>
    </xdr:to>
    <xdr:pic>
      <xdr:nvPicPr>
        <xdr:cNvPr id="6" name="Picture 5" descr="Free Female Symbol SVG, PNG Icon. Download Image.">
          <a:extLst>
            <a:ext uri="{FF2B5EF4-FFF2-40B4-BE49-F238E27FC236}">
              <a16:creationId xmlns:a16="http://schemas.microsoft.com/office/drawing/2014/main" id="{1226575B-B308-4F24-B150-672D45571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6117" y="1513393"/>
          <a:ext cx="382745" cy="390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554784</xdr:colOff>
      <xdr:row>11</xdr:row>
      <xdr:rowOff>26720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CDABF99-A2FB-5369-B897-A5A0A6FDB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44000" y="1473200"/>
          <a:ext cx="554784" cy="57917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524301</xdr:colOff>
      <xdr:row>6</xdr:row>
      <xdr:rowOff>20624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DDE0C37-9E59-AD61-C6EF-A28667D38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44000" y="552450"/>
          <a:ext cx="524301" cy="573074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6</xdr:row>
      <xdr:rowOff>161925</xdr:rowOff>
    </xdr:from>
    <xdr:to>
      <xdr:col>5</xdr:col>
      <xdr:colOff>444579</xdr:colOff>
      <xdr:row>11</xdr:row>
      <xdr:rowOff>168354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5F44DA18-3E7F-4D28-8E34-E5E6804E4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71750" y="1304925"/>
          <a:ext cx="920829" cy="958929"/>
        </a:xfrm>
        <a:prstGeom prst="rect">
          <a:avLst/>
        </a:prstGeom>
      </xdr:spPr>
    </xdr:pic>
    <xdr:clientData/>
  </xdr:twoCellAnchor>
  <xdr:twoCellAnchor editAs="oneCell">
    <xdr:from>
      <xdr:col>5</xdr:col>
      <xdr:colOff>276225</xdr:colOff>
      <xdr:row>2</xdr:row>
      <xdr:rowOff>47625</xdr:rowOff>
    </xdr:from>
    <xdr:to>
      <xdr:col>6</xdr:col>
      <xdr:colOff>578183</xdr:colOff>
      <xdr:row>7</xdr:row>
      <xdr:rowOff>54054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1F5E69F7-11AB-4240-92C3-239C09F77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24225" y="428625"/>
          <a:ext cx="911558" cy="9589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114300</xdr:rowOff>
    </xdr:from>
    <xdr:to>
      <xdr:col>21</xdr:col>
      <xdr:colOff>95250</xdr:colOff>
      <xdr:row>28</xdr:row>
      <xdr:rowOff>152399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120A94F0-9657-D86C-6131-4B58AB25453A}"/>
            </a:ext>
          </a:extLst>
        </xdr:cNvPr>
        <xdr:cNvSpPr/>
      </xdr:nvSpPr>
      <xdr:spPr>
        <a:xfrm>
          <a:off x="1257300" y="114300"/>
          <a:ext cx="11639550" cy="5372099"/>
        </a:xfrm>
        <a:prstGeom prst="roundRect">
          <a:avLst>
            <a:gd name="adj" fmla="val 0"/>
          </a:avLst>
        </a:prstGeom>
        <a:solidFill>
          <a:srgbClr val="F36E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253603</xdr:colOff>
      <xdr:row>1</xdr:row>
      <xdr:rowOff>96440</xdr:rowOff>
    </xdr:from>
    <xdr:to>
      <xdr:col>20</xdr:col>
      <xdr:colOff>225137</xdr:colOff>
      <xdr:row>27</xdr:row>
      <xdr:rowOff>163115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FD0F46AC-4273-A6FE-D59D-BD1DE1674ABB}"/>
            </a:ext>
          </a:extLst>
        </xdr:cNvPr>
        <xdr:cNvSpPr/>
      </xdr:nvSpPr>
      <xdr:spPr>
        <a:xfrm>
          <a:off x="1481270" y="286940"/>
          <a:ext cx="11020534" cy="5019675"/>
        </a:xfrm>
        <a:prstGeom prst="roundRect">
          <a:avLst>
            <a:gd name="adj" fmla="val 3108"/>
          </a:avLst>
        </a:prstGeom>
        <a:ln>
          <a:noFill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514350</xdr:colOff>
      <xdr:row>1</xdr:row>
      <xdr:rowOff>95250</xdr:rowOff>
    </xdr:from>
    <xdr:to>
      <xdr:col>20</xdr:col>
      <xdr:colOff>247650</xdr:colOff>
      <xdr:row>3</xdr:row>
      <xdr:rowOff>9525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8E986F0E-B16F-44B1-EC44-4648003447CA}"/>
            </a:ext>
          </a:extLst>
        </xdr:cNvPr>
        <xdr:cNvSpPr/>
      </xdr:nvSpPr>
      <xdr:spPr>
        <a:xfrm>
          <a:off x="9658350" y="285750"/>
          <a:ext cx="2781300" cy="295275"/>
        </a:xfrm>
        <a:prstGeom prst="rect">
          <a:avLst/>
        </a:prstGeom>
        <a:solidFill>
          <a:srgbClr val="F36E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15</xdr:col>
      <xdr:colOff>561974</xdr:colOff>
      <xdr:row>1</xdr:row>
      <xdr:rowOff>21723</xdr:rowOff>
    </xdr:from>
    <xdr:ext cx="2723611" cy="311496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99197015-EF58-9A85-D56D-CAECCD55DEFF}"/>
            </a:ext>
          </a:extLst>
        </xdr:cNvPr>
        <xdr:cNvSpPr/>
      </xdr:nvSpPr>
      <xdr:spPr>
        <a:xfrm>
          <a:off x="9705974" y="212223"/>
          <a:ext cx="2723611" cy="31149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PT" sz="1400" b="0" i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FEITO</a:t>
          </a:r>
          <a:r>
            <a:rPr lang="pt-PT" sz="1400" b="0" i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POR OMAR DAVIDE XAVIER</a:t>
          </a:r>
          <a:endParaRPr lang="pt-PT" sz="1400" b="0" i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</xdr:col>
      <xdr:colOff>343087</xdr:colOff>
      <xdr:row>1</xdr:row>
      <xdr:rowOff>136023</xdr:rowOff>
    </xdr:from>
    <xdr:ext cx="4019177" cy="781111"/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B956BEC8-8949-F8E3-45C1-BC1A91FD7AB0}"/>
            </a:ext>
          </a:extLst>
        </xdr:cNvPr>
        <xdr:cNvSpPr/>
      </xdr:nvSpPr>
      <xdr:spPr>
        <a:xfrm>
          <a:off x="1562287" y="326523"/>
          <a:ext cx="4019177" cy="781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PT" sz="4400" b="1" cap="none" spc="0">
              <a:ln w="0"/>
              <a:solidFill>
                <a:schemeClr val="accent3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DASHBOARD</a:t>
          </a:r>
          <a:r>
            <a:rPr lang="pt-PT" sz="4400" b="1" cap="none" spc="0" baseline="0">
              <a:ln w="0"/>
              <a:solidFill>
                <a:schemeClr val="accent3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RH</a:t>
          </a:r>
          <a:endParaRPr lang="pt-PT" sz="4400" b="1" cap="none" spc="0">
            <a:ln w="0"/>
            <a:solidFill>
              <a:schemeClr val="accent3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18</xdr:col>
      <xdr:colOff>361949</xdr:colOff>
      <xdr:row>3</xdr:row>
      <xdr:rowOff>66674</xdr:rowOff>
    </xdr:from>
    <xdr:to>
      <xdr:col>19</xdr:col>
      <xdr:colOff>590549</xdr:colOff>
      <xdr:row>7</xdr:row>
      <xdr:rowOff>180974</xdr:rowOff>
    </xdr:to>
    <xdr:pic>
      <xdr:nvPicPr>
        <xdr:cNvPr id="15" name="Picture 1" descr="bci-logo - Superbrands Moçambique">
          <a:extLst>
            <a:ext uri="{FF2B5EF4-FFF2-40B4-BE49-F238E27FC236}">
              <a16:creationId xmlns:a16="http://schemas.microsoft.com/office/drawing/2014/main" id="{2E2901DB-7E87-464E-A056-9515CCADB8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27333" y1="59333" x2="53333" y2="51333"/>
                      <a14:foregroundMark x1="61000" y1="57333" x2="17333" y2="30667"/>
                      <a14:foregroundMark x1="17333" y1="30667" x2="17333" y2="29667"/>
                      <a14:foregroundMark x1="21333" y1="47667" x2="32000" y2="61333"/>
                      <a14:foregroundMark x1="52333" y1="61333" x2="32000" y2="56333"/>
                      <a14:foregroundMark x1="52333" y1="58333" x2="59333" y2="25667"/>
                      <a14:foregroundMark x1="59333" y1="54333" x2="59333" y2="20667"/>
                      <a14:foregroundMark x1="63000" y1="32667" x2="76667" y2="44667"/>
                      <a14:foregroundMark x1="69000" y1="56333" x2="45667" y2="34667"/>
                      <a14:foregroundMark x1="62000" y1="67333" x2="49667" y2="49667"/>
                      <a14:foregroundMark x1="49667" y1="49667" x2="49667" y2="49667"/>
                      <a14:foregroundMark x1="48667" y1="75333" x2="74667" y2="74333"/>
                      <a14:foregroundMark x1="10667" y1="67333" x2="10667" y2="186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4" t="6955" r="8442" b="6599"/>
        <a:stretch/>
      </xdr:blipFill>
      <xdr:spPr bwMode="auto">
        <a:xfrm>
          <a:off x="11410949" y="638174"/>
          <a:ext cx="842433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466724</xdr:colOff>
      <xdr:row>10</xdr:row>
      <xdr:rowOff>95253</xdr:rowOff>
    </xdr:from>
    <xdr:to>
      <xdr:col>6</xdr:col>
      <xdr:colOff>532931</xdr:colOff>
      <xdr:row>19</xdr:row>
      <xdr:rowOff>168089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212D3B10-8F25-0956-C37A-B0B89DD7352C}"/>
            </a:ext>
          </a:extLst>
        </xdr:cNvPr>
        <xdr:cNvSpPr/>
      </xdr:nvSpPr>
      <xdr:spPr>
        <a:xfrm>
          <a:off x="1676959" y="2000253"/>
          <a:ext cx="2486678" cy="1787336"/>
        </a:xfrm>
        <a:prstGeom prst="roundRect">
          <a:avLst>
            <a:gd name="adj" fmla="val 2953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478936</xdr:colOff>
      <xdr:row>5</xdr:row>
      <xdr:rowOff>139414</xdr:rowOff>
    </xdr:from>
    <xdr:to>
      <xdr:col>5</xdr:col>
      <xdr:colOff>181351</xdr:colOff>
      <xdr:row>9</xdr:row>
      <xdr:rowOff>168262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682FB3D9-30C1-4669-8286-16C1341216E8}"/>
            </a:ext>
          </a:extLst>
        </xdr:cNvPr>
        <xdr:cNvGrpSpPr/>
      </xdr:nvGrpSpPr>
      <xdr:grpSpPr>
        <a:xfrm>
          <a:off x="1698136" y="1091914"/>
          <a:ext cx="1531215" cy="790848"/>
          <a:chOff x="1697454" y="1272889"/>
          <a:chExt cx="1517768" cy="790848"/>
        </a:xfrm>
      </xdr:grpSpPr>
      <xdr:sp macro="" textlink="">
        <xdr:nvSpPr>
          <xdr:cNvPr id="21" name="Retângulo: Cantos Arredondados 16">
            <a:extLst>
              <a:ext uri="{FF2B5EF4-FFF2-40B4-BE49-F238E27FC236}">
                <a16:creationId xmlns:a16="http://schemas.microsoft.com/office/drawing/2014/main" id="{24DB32B4-9BAD-DC5C-3CB3-6AD503EA6612}"/>
              </a:ext>
            </a:extLst>
          </xdr:cNvPr>
          <xdr:cNvSpPr/>
        </xdr:nvSpPr>
        <xdr:spPr>
          <a:xfrm>
            <a:off x="1698320" y="1272889"/>
            <a:ext cx="1516902" cy="790848"/>
          </a:xfrm>
          <a:custGeom>
            <a:avLst/>
            <a:gdLst>
              <a:gd name="connsiteX0" fmla="*/ 0 w 1672478"/>
              <a:gd name="connsiteY0" fmla="*/ 63436 h 790574"/>
              <a:gd name="connsiteX1" fmla="*/ 63436 w 1672478"/>
              <a:gd name="connsiteY1" fmla="*/ 0 h 790574"/>
              <a:gd name="connsiteX2" fmla="*/ 1609042 w 1672478"/>
              <a:gd name="connsiteY2" fmla="*/ 0 h 790574"/>
              <a:gd name="connsiteX3" fmla="*/ 1672478 w 1672478"/>
              <a:gd name="connsiteY3" fmla="*/ 63436 h 790574"/>
              <a:gd name="connsiteX4" fmla="*/ 1672478 w 1672478"/>
              <a:gd name="connsiteY4" fmla="*/ 727138 h 790574"/>
              <a:gd name="connsiteX5" fmla="*/ 1609042 w 1672478"/>
              <a:gd name="connsiteY5" fmla="*/ 790574 h 790574"/>
              <a:gd name="connsiteX6" fmla="*/ 63436 w 1672478"/>
              <a:gd name="connsiteY6" fmla="*/ 790574 h 790574"/>
              <a:gd name="connsiteX7" fmla="*/ 0 w 1672478"/>
              <a:gd name="connsiteY7" fmla="*/ 727138 h 790574"/>
              <a:gd name="connsiteX8" fmla="*/ 0 w 1672478"/>
              <a:gd name="connsiteY8" fmla="*/ 63436 h 790574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752"/>
              <a:gd name="connsiteY0" fmla="*/ 63436 h 790848"/>
              <a:gd name="connsiteX1" fmla="*/ 63436 w 1672752"/>
              <a:gd name="connsiteY1" fmla="*/ 0 h 790848"/>
              <a:gd name="connsiteX2" fmla="*/ 1609042 w 1672752"/>
              <a:gd name="connsiteY2" fmla="*/ 0 h 790848"/>
              <a:gd name="connsiteX3" fmla="*/ 1672478 w 1672752"/>
              <a:gd name="connsiteY3" fmla="*/ 63436 h 790848"/>
              <a:gd name="connsiteX4" fmla="*/ 1672478 w 1672752"/>
              <a:gd name="connsiteY4" fmla="*/ 727138 h 790848"/>
              <a:gd name="connsiteX5" fmla="*/ 1642659 w 1672752"/>
              <a:gd name="connsiteY5" fmla="*/ 779368 h 790848"/>
              <a:gd name="connsiteX6" fmla="*/ 63436 w 1672752"/>
              <a:gd name="connsiteY6" fmla="*/ 790574 h 790848"/>
              <a:gd name="connsiteX7" fmla="*/ 0 w 1672752"/>
              <a:gd name="connsiteY7" fmla="*/ 760755 h 790848"/>
              <a:gd name="connsiteX8" fmla="*/ 0 w 1672752"/>
              <a:gd name="connsiteY8" fmla="*/ 63436 h 790848"/>
              <a:gd name="connsiteX0" fmla="*/ 1144 w 1673896"/>
              <a:gd name="connsiteY0" fmla="*/ 63436 h 790848"/>
              <a:gd name="connsiteX1" fmla="*/ 64580 w 1673896"/>
              <a:gd name="connsiteY1" fmla="*/ 0 h 790848"/>
              <a:gd name="connsiteX2" fmla="*/ 1610186 w 1673896"/>
              <a:gd name="connsiteY2" fmla="*/ 0 h 790848"/>
              <a:gd name="connsiteX3" fmla="*/ 1673622 w 1673896"/>
              <a:gd name="connsiteY3" fmla="*/ 63436 h 790848"/>
              <a:gd name="connsiteX4" fmla="*/ 1673622 w 1673896"/>
              <a:gd name="connsiteY4" fmla="*/ 727138 h 790848"/>
              <a:gd name="connsiteX5" fmla="*/ 1643803 w 1673896"/>
              <a:gd name="connsiteY5" fmla="*/ 779368 h 790848"/>
              <a:gd name="connsiteX6" fmla="*/ 26784 w 1673896"/>
              <a:gd name="connsiteY6" fmla="*/ 790574 h 790848"/>
              <a:gd name="connsiteX7" fmla="*/ 1144 w 1673896"/>
              <a:gd name="connsiteY7" fmla="*/ 760755 h 790848"/>
              <a:gd name="connsiteX8" fmla="*/ 1144 w 1673896"/>
              <a:gd name="connsiteY8" fmla="*/ 63436 h 79084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673896" h="790848">
                <a:moveTo>
                  <a:pt x="1144" y="63436"/>
                </a:moveTo>
                <a:cubicBezTo>
                  <a:pt x="1144" y="28401"/>
                  <a:pt x="29545" y="0"/>
                  <a:pt x="64580" y="0"/>
                </a:cubicBezTo>
                <a:lnTo>
                  <a:pt x="1610186" y="0"/>
                </a:lnTo>
                <a:cubicBezTo>
                  <a:pt x="1645221" y="0"/>
                  <a:pt x="1673622" y="28401"/>
                  <a:pt x="1673622" y="63436"/>
                </a:cubicBezTo>
                <a:lnTo>
                  <a:pt x="1673622" y="727138"/>
                </a:lnTo>
                <a:cubicBezTo>
                  <a:pt x="1673622" y="762173"/>
                  <a:pt x="1678838" y="779368"/>
                  <a:pt x="1643803" y="779368"/>
                </a:cubicBezTo>
                <a:lnTo>
                  <a:pt x="26784" y="790574"/>
                </a:lnTo>
                <a:cubicBezTo>
                  <a:pt x="-8251" y="790574"/>
                  <a:pt x="1144" y="795790"/>
                  <a:pt x="1144" y="760755"/>
                </a:cubicBezTo>
                <a:lnTo>
                  <a:pt x="1144" y="63436"/>
                </a:lnTo>
                <a:close/>
              </a:path>
            </a:pathLst>
          </a:cu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Retângulo: Cantos Arredondados 16">
            <a:extLst>
              <a:ext uri="{FF2B5EF4-FFF2-40B4-BE49-F238E27FC236}">
                <a16:creationId xmlns:a16="http://schemas.microsoft.com/office/drawing/2014/main" id="{553586A9-E2C1-875C-BF53-14B0620D64D4}"/>
              </a:ext>
            </a:extLst>
          </xdr:cNvPr>
          <xdr:cNvSpPr/>
        </xdr:nvSpPr>
        <xdr:spPr>
          <a:xfrm>
            <a:off x="1697454" y="1273756"/>
            <a:ext cx="1516902" cy="223968"/>
          </a:xfrm>
          <a:custGeom>
            <a:avLst/>
            <a:gdLst>
              <a:gd name="connsiteX0" fmla="*/ 0 w 1672478"/>
              <a:gd name="connsiteY0" fmla="*/ 63436 h 790574"/>
              <a:gd name="connsiteX1" fmla="*/ 63436 w 1672478"/>
              <a:gd name="connsiteY1" fmla="*/ 0 h 790574"/>
              <a:gd name="connsiteX2" fmla="*/ 1609042 w 1672478"/>
              <a:gd name="connsiteY2" fmla="*/ 0 h 790574"/>
              <a:gd name="connsiteX3" fmla="*/ 1672478 w 1672478"/>
              <a:gd name="connsiteY3" fmla="*/ 63436 h 790574"/>
              <a:gd name="connsiteX4" fmla="*/ 1672478 w 1672478"/>
              <a:gd name="connsiteY4" fmla="*/ 727138 h 790574"/>
              <a:gd name="connsiteX5" fmla="*/ 1609042 w 1672478"/>
              <a:gd name="connsiteY5" fmla="*/ 790574 h 790574"/>
              <a:gd name="connsiteX6" fmla="*/ 63436 w 1672478"/>
              <a:gd name="connsiteY6" fmla="*/ 790574 h 790574"/>
              <a:gd name="connsiteX7" fmla="*/ 0 w 1672478"/>
              <a:gd name="connsiteY7" fmla="*/ 727138 h 790574"/>
              <a:gd name="connsiteX8" fmla="*/ 0 w 1672478"/>
              <a:gd name="connsiteY8" fmla="*/ 63436 h 790574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752"/>
              <a:gd name="connsiteY0" fmla="*/ 63436 h 790848"/>
              <a:gd name="connsiteX1" fmla="*/ 63436 w 1672752"/>
              <a:gd name="connsiteY1" fmla="*/ 0 h 790848"/>
              <a:gd name="connsiteX2" fmla="*/ 1609042 w 1672752"/>
              <a:gd name="connsiteY2" fmla="*/ 0 h 790848"/>
              <a:gd name="connsiteX3" fmla="*/ 1672478 w 1672752"/>
              <a:gd name="connsiteY3" fmla="*/ 63436 h 790848"/>
              <a:gd name="connsiteX4" fmla="*/ 1672478 w 1672752"/>
              <a:gd name="connsiteY4" fmla="*/ 727138 h 790848"/>
              <a:gd name="connsiteX5" fmla="*/ 1642659 w 1672752"/>
              <a:gd name="connsiteY5" fmla="*/ 779368 h 790848"/>
              <a:gd name="connsiteX6" fmla="*/ 63436 w 1672752"/>
              <a:gd name="connsiteY6" fmla="*/ 790574 h 790848"/>
              <a:gd name="connsiteX7" fmla="*/ 0 w 1672752"/>
              <a:gd name="connsiteY7" fmla="*/ 760755 h 790848"/>
              <a:gd name="connsiteX8" fmla="*/ 0 w 1672752"/>
              <a:gd name="connsiteY8" fmla="*/ 63436 h 790848"/>
              <a:gd name="connsiteX0" fmla="*/ 1144 w 1673896"/>
              <a:gd name="connsiteY0" fmla="*/ 63436 h 790848"/>
              <a:gd name="connsiteX1" fmla="*/ 64580 w 1673896"/>
              <a:gd name="connsiteY1" fmla="*/ 0 h 790848"/>
              <a:gd name="connsiteX2" fmla="*/ 1610186 w 1673896"/>
              <a:gd name="connsiteY2" fmla="*/ 0 h 790848"/>
              <a:gd name="connsiteX3" fmla="*/ 1673622 w 1673896"/>
              <a:gd name="connsiteY3" fmla="*/ 63436 h 790848"/>
              <a:gd name="connsiteX4" fmla="*/ 1673622 w 1673896"/>
              <a:gd name="connsiteY4" fmla="*/ 727138 h 790848"/>
              <a:gd name="connsiteX5" fmla="*/ 1643803 w 1673896"/>
              <a:gd name="connsiteY5" fmla="*/ 779368 h 790848"/>
              <a:gd name="connsiteX6" fmla="*/ 26784 w 1673896"/>
              <a:gd name="connsiteY6" fmla="*/ 790574 h 790848"/>
              <a:gd name="connsiteX7" fmla="*/ 1144 w 1673896"/>
              <a:gd name="connsiteY7" fmla="*/ 760755 h 790848"/>
              <a:gd name="connsiteX8" fmla="*/ 1144 w 1673896"/>
              <a:gd name="connsiteY8" fmla="*/ 63436 h 79084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673896" h="790848">
                <a:moveTo>
                  <a:pt x="1144" y="63436"/>
                </a:moveTo>
                <a:cubicBezTo>
                  <a:pt x="1144" y="28401"/>
                  <a:pt x="29545" y="0"/>
                  <a:pt x="64580" y="0"/>
                </a:cubicBezTo>
                <a:lnTo>
                  <a:pt x="1610186" y="0"/>
                </a:lnTo>
                <a:cubicBezTo>
                  <a:pt x="1645221" y="0"/>
                  <a:pt x="1673622" y="28401"/>
                  <a:pt x="1673622" y="63436"/>
                </a:cubicBezTo>
                <a:lnTo>
                  <a:pt x="1673622" y="727138"/>
                </a:lnTo>
                <a:cubicBezTo>
                  <a:pt x="1673622" y="762173"/>
                  <a:pt x="1678838" y="779368"/>
                  <a:pt x="1643803" y="779368"/>
                </a:cubicBezTo>
                <a:lnTo>
                  <a:pt x="26784" y="790574"/>
                </a:lnTo>
                <a:cubicBezTo>
                  <a:pt x="-8251" y="790574"/>
                  <a:pt x="1144" y="795790"/>
                  <a:pt x="1144" y="760755"/>
                </a:cubicBezTo>
                <a:lnTo>
                  <a:pt x="1144" y="63436"/>
                </a:lnTo>
                <a:close/>
              </a:path>
            </a:pathLst>
          </a:cu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350584</xdr:colOff>
      <xdr:row>5</xdr:row>
      <xdr:rowOff>139414</xdr:rowOff>
    </xdr:from>
    <xdr:to>
      <xdr:col>8</xdr:col>
      <xdr:colOff>552451</xdr:colOff>
      <xdr:row>9</xdr:row>
      <xdr:rowOff>169544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CC5C1B2B-9C07-E277-D816-104A63D1D7E2}"/>
            </a:ext>
          </a:extLst>
        </xdr:cNvPr>
        <xdr:cNvGrpSpPr/>
      </xdr:nvGrpSpPr>
      <xdr:grpSpPr>
        <a:xfrm>
          <a:off x="3398584" y="1091914"/>
          <a:ext cx="2030667" cy="792130"/>
          <a:chOff x="3376172" y="1275070"/>
          <a:chExt cx="2017220" cy="792130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0069896F-0A27-2D33-4E5D-EC367B354E72}"/>
              </a:ext>
            </a:extLst>
          </xdr:cNvPr>
          <xdr:cNvSpPr/>
        </xdr:nvSpPr>
        <xdr:spPr>
          <a:xfrm>
            <a:off x="3376859" y="1276352"/>
            <a:ext cx="2016533" cy="790848"/>
          </a:xfrm>
          <a:custGeom>
            <a:avLst/>
            <a:gdLst>
              <a:gd name="connsiteX0" fmla="*/ 0 w 1672478"/>
              <a:gd name="connsiteY0" fmla="*/ 63436 h 790574"/>
              <a:gd name="connsiteX1" fmla="*/ 63436 w 1672478"/>
              <a:gd name="connsiteY1" fmla="*/ 0 h 790574"/>
              <a:gd name="connsiteX2" fmla="*/ 1609042 w 1672478"/>
              <a:gd name="connsiteY2" fmla="*/ 0 h 790574"/>
              <a:gd name="connsiteX3" fmla="*/ 1672478 w 1672478"/>
              <a:gd name="connsiteY3" fmla="*/ 63436 h 790574"/>
              <a:gd name="connsiteX4" fmla="*/ 1672478 w 1672478"/>
              <a:gd name="connsiteY4" fmla="*/ 727138 h 790574"/>
              <a:gd name="connsiteX5" fmla="*/ 1609042 w 1672478"/>
              <a:gd name="connsiteY5" fmla="*/ 790574 h 790574"/>
              <a:gd name="connsiteX6" fmla="*/ 63436 w 1672478"/>
              <a:gd name="connsiteY6" fmla="*/ 790574 h 790574"/>
              <a:gd name="connsiteX7" fmla="*/ 0 w 1672478"/>
              <a:gd name="connsiteY7" fmla="*/ 727138 h 790574"/>
              <a:gd name="connsiteX8" fmla="*/ 0 w 1672478"/>
              <a:gd name="connsiteY8" fmla="*/ 63436 h 790574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752"/>
              <a:gd name="connsiteY0" fmla="*/ 63436 h 790848"/>
              <a:gd name="connsiteX1" fmla="*/ 63436 w 1672752"/>
              <a:gd name="connsiteY1" fmla="*/ 0 h 790848"/>
              <a:gd name="connsiteX2" fmla="*/ 1609042 w 1672752"/>
              <a:gd name="connsiteY2" fmla="*/ 0 h 790848"/>
              <a:gd name="connsiteX3" fmla="*/ 1672478 w 1672752"/>
              <a:gd name="connsiteY3" fmla="*/ 63436 h 790848"/>
              <a:gd name="connsiteX4" fmla="*/ 1672478 w 1672752"/>
              <a:gd name="connsiteY4" fmla="*/ 727138 h 790848"/>
              <a:gd name="connsiteX5" fmla="*/ 1642659 w 1672752"/>
              <a:gd name="connsiteY5" fmla="*/ 779368 h 790848"/>
              <a:gd name="connsiteX6" fmla="*/ 63436 w 1672752"/>
              <a:gd name="connsiteY6" fmla="*/ 790574 h 790848"/>
              <a:gd name="connsiteX7" fmla="*/ 0 w 1672752"/>
              <a:gd name="connsiteY7" fmla="*/ 760755 h 790848"/>
              <a:gd name="connsiteX8" fmla="*/ 0 w 1672752"/>
              <a:gd name="connsiteY8" fmla="*/ 63436 h 790848"/>
              <a:gd name="connsiteX0" fmla="*/ 1144 w 1673896"/>
              <a:gd name="connsiteY0" fmla="*/ 63436 h 790848"/>
              <a:gd name="connsiteX1" fmla="*/ 64580 w 1673896"/>
              <a:gd name="connsiteY1" fmla="*/ 0 h 790848"/>
              <a:gd name="connsiteX2" fmla="*/ 1610186 w 1673896"/>
              <a:gd name="connsiteY2" fmla="*/ 0 h 790848"/>
              <a:gd name="connsiteX3" fmla="*/ 1673622 w 1673896"/>
              <a:gd name="connsiteY3" fmla="*/ 63436 h 790848"/>
              <a:gd name="connsiteX4" fmla="*/ 1673622 w 1673896"/>
              <a:gd name="connsiteY4" fmla="*/ 727138 h 790848"/>
              <a:gd name="connsiteX5" fmla="*/ 1643803 w 1673896"/>
              <a:gd name="connsiteY5" fmla="*/ 779368 h 790848"/>
              <a:gd name="connsiteX6" fmla="*/ 26784 w 1673896"/>
              <a:gd name="connsiteY6" fmla="*/ 790574 h 790848"/>
              <a:gd name="connsiteX7" fmla="*/ 1144 w 1673896"/>
              <a:gd name="connsiteY7" fmla="*/ 760755 h 790848"/>
              <a:gd name="connsiteX8" fmla="*/ 1144 w 1673896"/>
              <a:gd name="connsiteY8" fmla="*/ 63436 h 79084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673896" h="790848">
                <a:moveTo>
                  <a:pt x="1144" y="63436"/>
                </a:moveTo>
                <a:cubicBezTo>
                  <a:pt x="1144" y="28401"/>
                  <a:pt x="29545" y="0"/>
                  <a:pt x="64580" y="0"/>
                </a:cubicBezTo>
                <a:lnTo>
                  <a:pt x="1610186" y="0"/>
                </a:lnTo>
                <a:cubicBezTo>
                  <a:pt x="1645221" y="0"/>
                  <a:pt x="1673622" y="28401"/>
                  <a:pt x="1673622" y="63436"/>
                </a:cubicBezTo>
                <a:lnTo>
                  <a:pt x="1673622" y="727138"/>
                </a:lnTo>
                <a:cubicBezTo>
                  <a:pt x="1673622" y="762173"/>
                  <a:pt x="1678838" y="779368"/>
                  <a:pt x="1643803" y="779368"/>
                </a:cubicBezTo>
                <a:lnTo>
                  <a:pt x="26784" y="790574"/>
                </a:lnTo>
                <a:cubicBezTo>
                  <a:pt x="-8251" y="790574"/>
                  <a:pt x="1144" y="795790"/>
                  <a:pt x="1144" y="760755"/>
                </a:cubicBezTo>
                <a:lnTo>
                  <a:pt x="1144" y="63436"/>
                </a:lnTo>
                <a:close/>
              </a:path>
            </a:pathLst>
          </a:cu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" name="Retângulo: Cantos Arredondados 16">
            <a:extLst>
              <a:ext uri="{FF2B5EF4-FFF2-40B4-BE49-F238E27FC236}">
                <a16:creationId xmlns:a16="http://schemas.microsoft.com/office/drawing/2014/main" id="{5399FEF9-01D0-72BF-EE72-0437E76FAD94}"/>
              </a:ext>
            </a:extLst>
          </xdr:cNvPr>
          <xdr:cNvSpPr/>
        </xdr:nvSpPr>
        <xdr:spPr>
          <a:xfrm>
            <a:off x="3376172" y="1275070"/>
            <a:ext cx="2016561" cy="223968"/>
          </a:xfrm>
          <a:custGeom>
            <a:avLst/>
            <a:gdLst>
              <a:gd name="connsiteX0" fmla="*/ 0 w 1672478"/>
              <a:gd name="connsiteY0" fmla="*/ 63436 h 790574"/>
              <a:gd name="connsiteX1" fmla="*/ 63436 w 1672478"/>
              <a:gd name="connsiteY1" fmla="*/ 0 h 790574"/>
              <a:gd name="connsiteX2" fmla="*/ 1609042 w 1672478"/>
              <a:gd name="connsiteY2" fmla="*/ 0 h 790574"/>
              <a:gd name="connsiteX3" fmla="*/ 1672478 w 1672478"/>
              <a:gd name="connsiteY3" fmla="*/ 63436 h 790574"/>
              <a:gd name="connsiteX4" fmla="*/ 1672478 w 1672478"/>
              <a:gd name="connsiteY4" fmla="*/ 727138 h 790574"/>
              <a:gd name="connsiteX5" fmla="*/ 1609042 w 1672478"/>
              <a:gd name="connsiteY5" fmla="*/ 790574 h 790574"/>
              <a:gd name="connsiteX6" fmla="*/ 63436 w 1672478"/>
              <a:gd name="connsiteY6" fmla="*/ 790574 h 790574"/>
              <a:gd name="connsiteX7" fmla="*/ 0 w 1672478"/>
              <a:gd name="connsiteY7" fmla="*/ 727138 h 790574"/>
              <a:gd name="connsiteX8" fmla="*/ 0 w 1672478"/>
              <a:gd name="connsiteY8" fmla="*/ 63436 h 790574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752"/>
              <a:gd name="connsiteY0" fmla="*/ 63436 h 790848"/>
              <a:gd name="connsiteX1" fmla="*/ 63436 w 1672752"/>
              <a:gd name="connsiteY1" fmla="*/ 0 h 790848"/>
              <a:gd name="connsiteX2" fmla="*/ 1609042 w 1672752"/>
              <a:gd name="connsiteY2" fmla="*/ 0 h 790848"/>
              <a:gd name="connsiteX3" fmla="*/ 1672478 w 1672752"/>
              <a:gd name="connsiteY3" fmla="*/ 63436 h 790848"/>
              <a:gd name="connsiteX4" fmla="*/ 1672478 w 1672752"/>
              <a:gd name="connsiteY4" fmla="*/ 727138 h 790848"/>
              <a:gd name="connsiteX5" fmla="*/ 1642659 w 1672752"/>
              <a:gd name="connsiteY5" fmla="*/ 779368 h 790848"/>
              <a:gd name="connsiteX6" fmla="*/ 63436 w 1672752"/>
              <a:gd name="connsiteY6" fmla="*/ 790574 h 790848"/>
              <a:gd name="connsiteX7" fmla="*/ 0 w 1672752"/>
              <a:gd name="connsiteY7" fmla="*/ 760755 h 790848"/>
              <a:gd name="connsiteX8" fmla="*/ 0 w 1672752"/>
              <a:gd name="connsiteY8" fmla="*/ 63436 h 790848"/>
              <a:gd name="connsiteX0" fmla="*/ 1144 w 1673896"/>
              <a:gd name="connsiteY0" fmla="*/ 63436 h 790848"/>
              <a:gd name="connsiteX1" fmla="*/ 64580 w 1673896"/>
              <a:gd name="connsiteY1" fmla="*/ 0 h 790848"/>
              <a:gd name="connsiteX2" fmla="*/ 1610186 w 1673896"/>
              <a:gd name="connsiteY2" fmla="*/ 0 h 790848"/>
              <a:gd name="connsiteX3" fmla="*/ 1673622 w 1673896"/>
              <a:gd name="connsiteY3" fmla="*/ 63436 h 790848"/>
              <a:gd name="connsiteX4" fmla="*/ 1673622 w 1673896"/>
              <a:gd name="connsiteY4" fmla="*/ 727138 h 790848"/>
              <a:gd name="connsiteX5" fmla="*/ 1643803 w 1673896"/>
              <a:gd name="connsiteY5" fmla="*/ 779368 h 790848"/>
              <a:gd name="connsiteX6" fmla="*/ 26784 w 1673896"/>
              <a:gd name="connsiteY6" fmla="*/ 790574 h 790848"/>
              <a:gd name="connsiteX7" fmla="*/ 1144 w 1673896"/>
              <a:gd name="connsiteY7" fmla="*/ 760755 h 790848"/>
              <a:gd name="connsiteX8" fmla="*/ 1144 w 1673896"/>
              <a:gd name="connsiteY8" fmla="*/ 63436 h 79084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673896" h="790848">
                <a:moveTo>
                  <a:pt x="1144" y="63436"/>
                </a:moveTo>
                <a:cubicBezTo>
                  <a:pt x="1144" y="28401"/>
                  <a:pt x="29545" y="0"/>
                  <a:pt x="64580" y="0"/>
                </a:cubicBezTo>
                <a:lnTo>
                  <a:pt x="1610186" y="0"/>
                </a:lnTo>
                <a:cubicBezTo>
                  <a:pt x="1645221" y="0"/>
                  <a:pt x="1673622" y="28401"/>
                  <a:pt x="1673622" y="63436"/>
                </a:cubicBezTo>
                <a:lnTo>
                  <a:pt x="1673622" y="727138"/>
                </a:lnTo>
                <a:cubicBezTo>
                  <a:pt x="1673622" y="762173"/>
                  <a:pt x="1678838" y="779368"/>
                  <a:pt x="1643803" y="779368"/>
                </a:cubicBezTo>
                <a:lnTo>
                  <a:pt x="26784" y="790574"/>
                </a:lnTo>
                <a:cubicBezTo>
                  <a:pt x="-8251" y="790574"/>
                  <a:pt x="1144" y="795790"/>
                  <a:pt x="1144" y="760755"/>
                </a:cubicBezTo>
                <a:lnTo>
                  <a:pt x="1144" y="63436"/>
                </a:lnTo>
                <a:close/>
              </a:path>
            </a:pathLst>
          </a:cu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463535</xdr:colOff>
      <xdr:row>10</xdr:row>
      <xdr:rowOff>91972</xdr:rowOff>
    </xdr:from>
    <xdr:to>
      <xdr:col>6</xdr:col>
      <xdr:colOff>537881</xdr:colOff>
      <xdr:row>27</xdr:row>
      <xdr:rowOff>58827</xdr:rowOff>
    </xdr:to>
    <xdr:grpSp>
      <xdr:nvGrpSpPr>
        <xdr:cNvPr id="3077" name="Agrupar 3076">
          <a:extLst>
            <a:ext uri="{FF2B5EF4-FFF2-40B4-BE49-F238E27FC236}">
              <a16:creationId xmlns:a16="http://schemas.microsoft.com/office/drawing/2014/main" id="{9B42D87F-F1C6-8D39-12A8-05E3B397ECA1}"/>
            </a:ext>
          </a:extLst>
        </xdr:cNvPr>
        <xdr:cNvGrpSpPr/>
      </xdr:nvGrpSpPr>
      <xdr:grpSpPr>
        <a:xfrm>
          <a:off x="1682735" y="1996972"/>
          <a:ext cx="2512746" cy="3205355"/>
          <a:chOff x="1673771" y="1996972"/>
          <a:chExt cx="2246826" cy="3205355"/>
        </a:xfrm>
      </xdr:grpSpPr>
      <xdr:sp macro="" textlink="">
        <xdr:nvSpPr>
          <xdr:cNvPr id="34" name="Retângulo: Cantos Arredondados 16">
            <a:extLst>
              <a:ext uri="{FF2B5EF4-FFF2-40B4-BE49-F238E27FC236}">
                <a16:creationId xmlns:a16="http://schemas.microsoft.com/office/drawing/2014/main" id="{DFCA8B82-0152-9669-E6CC-8C8E3474E4B3}"/>
              </a:ext>
            </a:extLst>
          </xdr:cNvPr>
          <xdr:cNvSpPr/>
        </xdr:nvSpPr>
        <xdr:spPr>
          <a:xfrm>
            <a:off x="1679525" y="4004989"/>
            <a:ext cx="2241072" cy="1197338"/>
          </a:xfrm>
          <a:custGeom>
            <a:avLst/>
            <a:gdLst>
              <a:gd name="connsiteX0" fmla="*/ 0 w 1672478"/>
              <a:gd name="connsiteY0" fmla="*/ 63436 h 790574"/>
              <a:gd name="connsiteX1" fmla="*/ 63436 w 1672478"/>
              <a:gd name="connsiteY1" fmla="*/ 0 h 790574"/>
              <a:gd name="connsiteX2" fmla="*/ 1609042 w 1672478"/>
              <a:gd name="connsiteY2" fmla="*/ 0 h 790574"/>
              <a:gd name="connsiteX3" fmla="*/ 1672478 w 1672478"/>
              <a:gd name="connsiteY3" fmla="*/ 63436 h 790574"/>
              <a:gd name="connsiteX4" fmla="*/ 1672478 w 1672478"/>
              <a:gd name="connsiteY4" fmla="*/ 727138 h 790574"/>
              <a:gd name="connsiteX5" fmla="*/ 1609042 w 1672478"/>
              <a:gd name="connsiteY5" fmla="*/ 790574 h 790574"/>
              <a:gd name="connsiteX6" fmla="*/ 63436 w 1672478"/>
              <a:gd name="connsiteY6" fmla="*/ 790574 h 790574"/>
              <a:gd name="connsiteX7" fmla="*/ 0 w 1672478"/>
              <a:gd name="connsiteY7" fmla="*/ 727138 h 790574"/>
              <a:gd name="connsiteX8" fmla="*/ 0 w 1672478"/>
              <a:gd name="connsiteY8" fmla="*/ 63436 h 790574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752"/>
              <a:gd name="connsiteY0" fmla="*/ 63436 h 790848"/>
              <a:gd name="connsiteX1" fmla="*/ 63436 w 1672752"/>
              <a:gd name="connsiteY1" fmla="*/ 0 h 790848"/>
              <a:gd name="connsiteX2" fmla="*/ 1609042 w 1672752"/>
              <a:gd name="connsiteY2" fmla="*/ 0 h 790848"/>
              <a:gd name="connsiteX3" fmla="*/ 1672478 w 1672752"/>
              <a:gd name="connsiteY3" fmla="*/ 63436 h 790848"/>
              <a:gd name="connsiteX4" fmla="*/ 1672478 w 1672752"/>
              <a:gd name="connsiteY4" fmla="*/ 727138 h 790848"/>
              <a:gd name="connsiteX5" fmla="*/ 1642659 w 1672752"/>
              <a:gd name="connsiteY5" fmla="*/ 779368 h 790848"/>
              <a:gd name="connsiteX6" fmla="*/ 63436 w 1672752"/>
              <a:gd name="connsiteY6" fmla="*/ 790574 h 790848"/>
              <a:gd name="connsiteX7" fmla="*/ 0 w 1672752"/>
              <a:gd name="connsiteY7" fmla="*/ 760755 h 790848"/>
              <a:gd name="connsiteX8" fmla="*/ 0 w 1672752"/>
              <a:gd name="connsiteY8" fmla="*/ 63436 h 790848"/>
              <a:gd name="connsiteX0" fmla="*/ 1144 w 1673896"/>
              <a:gd name="connsiteY0" fmla="*/ 63436 h 790848"/>
              <a:gd name="connsiteX1" fmla="*/ 64580 w 1673896"/>
              <a:gd name="connsiteY1" fmla="*/ 0 h 790848"/>
              <a:gd name="connsiteX2" fmla="*/ 1610186 w 1673896"/>
              <a:gd name="connsiteY2" fmla="*/ 0 h 790848"/>
              <a:gd name="connsiteX3" fmla="*/ 1673622 w 1673896"/>
              <a:gd name="connsiteY3" fmla="*/ 63436 h 790848"/>
              <a:gd name="connsiteX4" fmla="*/ 1673622 w 1673896"/>
              <a:gd name="connsiteY4" fmla="*/ 727138 h 790848"/>
              <a:gd name="connsiteX5" fmla="*/ 1643803 w 1673896"/>
              <a:gd name="connsiteY5" fmla="*/ 779368 h 790848"/>
              <a:gd name="connsiteX6" fmla="*/ 26784 w 1673896"/>
              <a:gd name="connsiteY6" fmla="*/ 790574 h 790848"/>
              <a:gd name="connsiteX7" fmla="*/ 1144 w 1673896"/>
              <a:gd name="connsiteY7" fmla="*/ 760755 h 790848"/>
              <a:gd name="connsiteX8" fmla="*/ 1144 w 1673896"/>
              <a:gd name="connsiteY8" fmla="*/ 63436 h 79084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673896" h="790848">
                <a:moveTo>
                  <a:pt x="1144" y="63436"/>
                </a:moveTo>
                <a:cubicBezTo>
                  <a:pt x="1144" y="28401"/>
                  <a:pt x="29545" y="0"/>
                  <a:pt x="64580" y="0"/>
                </a:cubicBezTo>
                <a:lnTo>
                  <a:pt x="1610186" y="0"/>
                </a:lnTo>
                <a:cubicBezTo>
                  <a:pt x="1645221" y="0"/>
                  <a:pt x="1673622" y="28401"/>
                  <a:pt x="1673622" y="63436"/>
                </a:cubicBezTo>
                <a:lnTo>
                  <a:pt x="1673622" y="727138"/>
                </a:lnTo>
                <a:cubicBezTo>
                  <a:pt x="1673622" y="762173"/>
                  <a:pt x="1678838" y="779368"/>
                  <a:pt x="1643803" y="779368"/>
                </a:cubicBezTo>
                <a:lnTo>
                  <a:pt x="26784" y="790574"/>
                </a:lnTo>
                <a:cubicBezTo>
                  <a:pt x="-8251" y="790574"/>
                  <a:pt x="1144" y="795790"/>
                  <a:pt x="1144" y="760755"/>
                </a:cubicBezTo>
                <a:lnTo>
                  <a:pt x="1144" y="63436"/>
                </a:lnTo>
                <a:close/>
              </a:path>
            </a:pathLst>
          </a:cu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5" name="Retângulo: Cantos Arredondados 16">
            <a:extLst>
              <a:ext uri="{FF2B5EF4-FFF2-40B4-BE49-F238E27FC236}">
                <a16:creationId xmlns:a16="http://schemas.microsoft.com/office/drawing/2014/main" id="{08DF28D8-89A8-F3AD-06BA-BC0B0F431F74}"/>
              </a:ext>
            </a:extLst>
          </xdr:cNvPr>
          <xdr:cNvSpPr/>
        </xdr:nvSpPr>
        <xdr:spPr>
          <a:xfrm>
            <a:off x="1678253" y="3996102"/>
            <a:ext cx="2241072" cy="247551"/>
          </a:xfrm>
          <a:custGeom>
            <a:avLst/>
            <a:gdLst>
              <a:gd name="connsiteX0" fmla="*/ 0 w 1672478"/>
              <a:gd name="connsiteY0" fmla="*/ 63436 h 790574"/>
              <a:gd name="connsiteX1" fmla="*/ 63436 w 1672478"/>
              <a:gd name="connsiteY1" fmla="*/ 0 h 790574"/>
              <a:gd name="connsiteX2" fmla="*/ 1609042 w 1672478"/>
              <a:gd name="connsiteY2" fmla="*/ 0 h 790574"/>
              <a:gd name="connsiteX3" fmla="*/ 1672478 w 1672478"/>
              <a:gd name="connsiteY3" fmla="*/ 63436 h 790574"/>
              <a:gd name="connsiteX4" fmla="*/ 1672478 w 1672478"/>
              <a:gd name="connsiteY4" fmla="*/ 727138 h 790574"/>
              <a:gd name="connsiteX5" fmla="*/ 1609042 w 1672478"/>
              <a:gd name="connsiteY5" fmla="*/ 790574 h 790574"/>
              <a:gd name="connsiteX6" fmla="*/ 63436 w 1672478"/>
              <a:gd name="connsiteY6" fmla="*/ 790574 h 790574"/>
              <a:gd name="connsiteX7" fmla="*/ 0 w 1672478"/>
              <a:gd name="connsiteY7" fmla="*/ 727138 h 790574"/>
              <a:gd name="connsiteX8" fmla="*/ 0 w 1672478"/>
              <a:gd name="connsiteY8" fmla="*/ 63436 h 790574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752"/>
              <a:gd name="connsiteY0" fmla="*/ 63436 h 790848"/>
              <a:gd name="connsiteX1" fmla="*/ 63436 w 1672752"/>
              <a:gd name="connsiteY1" fmla="*/ 0 h 790848"/>
              <a:gd name="connsiteX2" fmla="*/ 1609042 w 1672752"/>
              <a:gd name="connsiteY2" fmla="*/ 0 h 790848"/>
              <a:gd name="connsiteX3" fmla="*/ 1672478 w 1672752"/>
              <a:gd name="connsiteY3" fmla="*/ 63436 h 790848"/>
              <a:gd name="connsiteX4" fmla="*/ 1672478 w 1672752"/>
              <a:gd name="connsiteY4" fmla="*/ 727138 h 790848"/>
              <a:gd name="connsiteX5" fmla="*/ 1642659 w 1672752"/>
              <a:gd name="connsiteY5" fmla="*/ 779368 h 790848"/>
              <a:gd name="connsiteX6" fmla="*/ 63436 w 1672752"/>
              <a:gd name="connsiteY6" fmla="*/ 790574 h 790848"/>
              <a:gd name="connsiteX7" fmla="*/ 0 w 1672752"/>
              <a:gd name="connsiteY7" fmla="*/ 760755 h 790848"/>
              <a:gd name="connsiteX8" fmla="*/ 0 w 1672752"/>
              <a:gd name="connsiteY8" fmla="*/ 63436 h 790848"/>
              <a:gd name="connsiteX0" fmla="*/ 1144 w 1673896"/>
              <a:gd name="connsiteY0" fmla="*/ 63436 h 790848"/>
              <a:gd name="connsiteX1" fmla="*/ 64580 w 1673896"/>
              <a:gd name="connsiteY1" fmla="*/ 0 h 790848"/>
              <a:gd name="connsiteX2" fmla="*/ 1610186 w 1673896"/>
              <a:gd name="connsiteY2" fmla="*/ 0 h 790848"/>
              <a:gd name="connsiteX3" fmla="*/ 1673622 w 1673896"/>
              <a:gd name="connsiteY3" fmla="*/ 63436 h 790848"/>
              <a:gd name="connsiteX4" fmla="*/ 1673622 w 1673896"/>
              <a:gd name="connsiteY4" fmla="*/ 727138 h 790848"/>
              <a:gd name="connsiteX5" fmla="*/ 1643803 w 1673896"/>
              <a:gd name="connsiteY5" fmla="*/ 779368 h 790848"/>
              <a:gd name="connsiteX6" fmla="*/ 26784 w 1673896"/>
              <a:gd name="connsiteY6" fmla="*/ 790574 h 790848"/>
              <a:gd name="connsiteX7" fmla="*/ 1144 w 1673896"/>
              <a:gd name="connsiteY7" fmla="*/ 760755 h 790848"/>
              <a:gd name="connsiteX8" fmla="*/ 1144 w 1673896"/>
              <a:gd name="connsiteY8" fmla="*/ 63436 h 79084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673896" h="790848">
                <a:moveTo>
                  <a:pt x="1144" y="63436"/>
                </a:moveTo>
                <a:cubicBezTo>
                  <a:pt x="1144" y="28401"/>
                  <a:pt x="29545" y="0"/>
                  <a:pt x="64580" y="0"/>
                </a:cubicBezTo>
                <a:lnTo>
                  <a:pt x="1610186" y="0"/>
                </a:lnTo>
                <a:cubicBezTo>
                  <a:pt x="1645221" y="0"/>
                  <a:pt x="1673622" y="28401"/>
                  <a:pt x="1673622" y="63436"/>
                </a:cubicBezTo>
                <a:lnTo>
                  <a:pt x="1673622" y="727138"/>
                </a:lnTo>
                <a:cubicBezTo>
                  <a:pt x="1673622" y="762173"/>
                  <a:pt x="1678838" y="779368"/>
                  <a:pt x="1643803" y="779368"/>
                </a:cubicBezTo>
                <a:lnTo>
                  <a:pt x="26784" y="790574"/>
                </a:lnTo>
                <a:cubicBezTo>
                  <a:pt x="-8251" y="790574"/>
                  <a:pt x="1144" y="795790"/>
                  <a:pt x="1144" y="760755"/>
                </a:cubicBezTo>
                <a:lnTo>
                  <a:pt x="1144" y="63436"/>
                </a:lnTo>
                <a:close/>
              </a:path>
            </a:pathLst>
          </a:cu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74" name="Retângulo: Cantos Arredondados 16">
            <a:extLst>
              <a:ext uri="{FF2B5EF4-FFF2-40B4-BE49-F238E27FC236}">
                <a16:creationId xmlns:a16="http://schemas.microsoft.com/office/drawing/2014/main" id="{0C3C91C9-28AB-1AF2-5A27-74BC4BE16961}"/>
              </a:ext>
            </a:extLst>
          </xdr:cNvPr>
          <xdr:cNvSpPr/>
        </xdr:nvSpPr>
        <xdr:spPr>
          <a:xfrm>
            <a:off x="1673771" y="1996972"/>
            <a:ext cx="2241072" cy="247551"/>
          </a:xfrm>
          <a:custGeom>
            <a:avLst/>
            <a:gdLst>
              <a:gd name="connsiteX0" fmla="*/ 0 w 1672478"/>
              <a:gd name="connsiteY0" fmla="*/ 63436 h 790574"/>
              <a:gd name="connsiteX1" fmla="*/ 63436 w 1672478"/>
              <a:gd name="connsiteY1" fmla="*/ 0 h 790574"/>
              <a:gd name="connsiteX2" fmla="*/ 1609042 w 1672478"/>
              <a:gd name="connsiteY2" fmla="*/ 0 h 790574"/>
              <a:gd name="connsiteX3" fmla="*/ 1672478 w 1672478"/>
              <a:gd name="connsiteY3" fmla="*/ 63436 h 790574"/>
              <a:gd name="connsiteX4" fmla="*/ 1672478 w 1672478"/>
              <a:gd name="connsiteY4" fmla="*/ 727138 h 790574"/>
              <a:gd name="connsiteX5" fmla="*/ 1609042 w 1672478"/>
              <a:gd name="connsiteY5" fmla="*/ 790574 h 790574"/>
              <a:gd name="connsiteX6" fmla="*/ 63436 w 1672478"/>
              <a:gd name="connsiteY6" fmla="*/ 790574 h 790574"/>
              <a:gd name="connsiteX7" fmla="*/ 0 w 1672478"/>
              <a:gd name="connsiteY7" fmla="*/ 727138 h 790574"/>
              <a:gd name="connsiteX8" fmla="*/ 0 w 1672478"/>
              <a:gd name="connsiteY8" fmla="*/ 63436 h 790574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752"/>
              <a:gd name="connsiteY0" fmla="*/ 63436 h 790848"/>
              <a:gd name="connsiteX1" fmla="*/ 63436 w 1672752"/>
              <a:gd name="connsiteY1" fmla="*/ 0 h 790848"/>
              <a:gd name="connsiteX2" fmla="*/ 1609042 w 1672752"/>
              <a:gd name="connsiteY2" fmla="*/ 0 h 790848"/>
              <a:gd name="connsiteX3" fmla="*/ 1672478 w 1672752"/>
              <a:gd name="connsiteY3" fmla="*/ 63436 h 790848"/>
              <a:gd name="connsiteX4" fmla="*/ 1672478 w 1672752"/>
              <a:gd name="connsiteY4" fmla="*/ 727138 h 790848"/>
              <a:gd name="connsiteX5" fmla="*/ 1642659 w 1672752"/>
              <a:gd name="connsiteY5" fmla="*/ 779368 h 790848"/>
              <a:gd name="connsiteX6" fmla="*/ 63436 w 1672752"/>
              <a:gd name="connsiteY6" fmla="*/ 790574 h 790848"/>
              <a:gd name="connsiteX7" fmla="*/ 0 w 1672752"/>
              <a:gd name="connsiteY7" fmla="*/ 760755 h 790848"/>
              <a:gd name="connsiteX8" fmla="*/ 0 w 1672752"/>
              <a:gd name="connsiteY8" fmla="*/ 63436 h 790848"/>
              <a:gd name="connsiteX0" fmla="*/ 1144 w 1673896"/>
              <a:gd name="connsiteY0" fmla="*/ 63436 h 790848"/>
              <a:gd name="connsiteX1" fmla="*/ 64580 w 1673896"/>
              <a:gd name="connsiteY1" fmla="*/ 0 h 790848"/>
              <a:gd name="connsiteX2" fmla="*/ 1610186 w 1673896"/>
              <a:gd name="connsiteY2" fmla="*/ 0 h 790848"/>
              <a:gd name="connsiteX3" fmla="*/ 1673622 w 1673896"/>
              <a:gd name="connsiteY3" fmla="*/ 63436 h 790848"/>
              <a:gd name="connsiteX4" fmla="*/ 1673622 w 1673896"/>
              <a:gd name="connsiteY4" fmla="*/ 727138 h 790848"/>
              <a:gd name="connsiteX5" fmla="*/ 1643803 w 1673896"/>
              <a:gd name="connsiteY5" fmla="*/ 779368 h 790848"/>
              <a:gd name="connsiteX6" fmla="*/ 26784 w 1673896"/>
              <a:gd name="connsiteY6" fmla="*/ 790574 h 790848"/>
              <a:gd name="connsiteX7" fmla="*/ 1144 w 1673896"/>
              <a:gd name="connsiteY7" fmla="*/ 760755 h 790848"/>
              <a:gd name="connsiteX8" fmla="*/ 1144 w 1673896"/>
              <a:gd name="connsiteY8" fmla="*/ 63436 h 79084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673896" h="790848">
                <a:moveTo>
                  <a:pt x="1144" y="63436"/>
                </a:moveTo>
                <a:cubicBezTo>
                  <a:pt x="1144" y="28401"/>
                  <a:pt x="29545" y="0"/>
                  <a:pt x="64580" y="0"/>
                </a:cubicBezTo>
                <a:lnTo>
                  <a:pt x="1610186" y="0"/>
                </a:lnTo>
                <a:cubicBezTo>
                  <a:pt x="1645221" y="0"/>
                  <a:pt x="1673622" y="28401"/>
                  <a:pt x="1673622" y="63436"/>
                </a:cubicBezTo>
                <a:lnTo>
                  <a:pt x="1673622" y="727138"/>
                </a:lnTo>
                <a:cubicBezTo>
                  <a:pt x="1673622" y="762173"/>
                  <a:pt x="1678838" y="779368"/>
                  <a:pt x="1643803" y="779368"/>
                </a:cubicBezTo>
                <a:lnTo>
                  <a:pt x="26784" y="790574"/>
                </a:lnTo>
                <a:cubicBezTo>
                  <a:pt x="-8251" y="790574"/>
                  <a:pt x="1144" y="795790"/>
                  <a:pt x="1144" y="760755"/>
                </a:cubicBezTo>
                <a:lnTo>
                  <a:pt x="1144" y="63436"/>
                </a:lnTo>
                <a:close/>
              </a:path>
            </a:pathLst>
          </a:cu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134470</xdr:colOff>
      <xdr:row>20</xdr:row>
      <xdr:rowOff>161265</xdr:rowOff>
    </xdr:from>
    <xdr:to>
      <xdr:col>14</xdr:col>
      <xdr:colOff>526676</xdr:colOff>
      <xdr:row>27</xdr:row>
      <xdr:rowOff>22413</xdr:rowOff>
    </xdr:to>
    <xdr:grpSp>
      <xdr:nvGrpSpPr>
        <xdr:cNvPr id="3075" name="Agrupar 3074">
          <a:extLst>
            <a:ext uri="{FF2B5EF4-FFF2-40B4-BE49-F238E27FC236}">
              <a16:creationId xmlns:a16="http://schemas.microsoft.com/office/drawing/2014/main" id="{5553C4D6-B502-9BAE-73F9-F90A739D5F0D}"/>
            </a:ext>
          </a:extLst>
        </xdr:cNvPr>
        <xdr:cNvGrpSpPr/>
      </xdr:nvGrpSpPr>
      <xdr:grpSpPr>
        <a:xfrm>
          <a:off x="4401670" y="3971265"/>
          <a:ext cx="4659406" cy="1194648"/>
          <a:chOff x="4061402" y="4004883"/>
          <a:chExt cx="4936921" cy="1194648"/>
        </a:xfrm>
      </xdr:grpSpPr>
      <xdr:sp macro="" textlink="">
        <xdr:nvSpPr>
          <xdr:cNvPr id="37" name="Retângulo: Cantos Arredondados 16">
            <a:extLst>
              <a:ext uri="{FF2B5EF4-FFF2-40B4-BE49-F238E27FC236}">
                <a16:creationId xmlns:a16="http://schemas.microsoft.com/office/drawing/2014/main" id="{F279B1EC-3575-D522-F297-FCA4C8F36268}"/>
              </a:ext>
            </a:extLst>
          </xdr:cNvPr>
          <xdr:cNvSpPr/>
        </xdr:nvSpPr>
        <xdr:spPr>
          <a:xfrm>
            <a:off x="4064219" y="4004883"/>
            <a:ext cx="4934104" cy="1194648"/>
          </a:xfrm>
          <a:custGeom>
            <a:avLst/>
            <a:gdLst>
              <a:gd name="connsiteX0" fmla="*/ 0 w 1672478"/>
              <a:gd name="connsiteY0" fmla="*/ 63436 h 790574"/>
              <a:gd name="connsiteX1" fmla="*/ 63436 w 1672478"/>
              <a:gd name="connsiteY1" fmla="*/ 0 h 790574"/>
              <a:gd name="connsiteX2" fmla="*/ 1609042 w 1672478"/>
              <a:gd name="connsiteY2" fmla="*/ 0 h 790574"/>
              <a:gd name="connsiteX3" fmla="*/ 1672478 w 1672478"/>
              <a:gd name="connsiteY3" fmla="*/ 63436 h 790574"/>
              <a:gd name="connsiteX4" fmla="*/ 1672478 w 1672478"/>
              <a:gd name="connsiteY4" fmla="*/ 727138 h 790574"/>
              <a:gd name="connsiteX5" fmla="*/ 1609042 w 1672478"/>
              <a:gd name="connsiteY5" fmla="*/ 790574 h 790574"/>
              <a:gd name="connsiteX6" fmla="*/ 63436 w 1672478"/>
              <a:gd name="connsiteY6" fmla="*/ 790574 h 790574"/>
              <a:gd name="connsiteX7" fmla="*/ 0 w 1672478"/>
              <a:gd name="connsiteY7" fmla="*/ 727138 h 790574"/>
              <a:gd name="connsiteX8" fmla="*/ 0 w 1672478"/>
              <a:gd name="connsiteY8" fmla="*/ 63436 h 790574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752"/>
              <a:gd name="connsiteY0" fmla="*/ 63436 h 790848"/>
              <a:gd name="connsiteX1" fmla="*/ 63436 w 1672752"/>
              <a:gd name="connsiteY1" fmla="*/ 0 h 790848"/>
              <a:gd name="connsiteX2" fmla="*/ 1609042 w 1672752"/>
              <a:gd name="connsiteY2" fmla="*/ 0 h 790848"/>
              <a:gd name="connsiteX3" fmla="*/ 1672478 w 1672752"/>
              <a:gd name="connsiteY3" fmla="*/ 63436 h 790848"/>
              <a:gd name="connsiteX4" fmla="*/ 1672478 w 1672752"/>
              <a:gd name="connsiteY4" fmla="*/ 727138 h 790848"/>
              <a:gd name="connsiteX5" fmla="*/ 1642659 w 1672752"/>
              <a:gd name="connsiteY5" fmla="*/ 779368 h 790848"/>
              <a:gd name="connsiteX6" fmla="*/ 63436 w 1672752"/>
              <a:gd name="connsiteY6" fmla="*/ 790574 h 790848"/>
              <a:gd name="connsiteX7" fmla="*/ 0 w 1672752"/>
              <a:gd name="connsiteY7" fmla="*/ 760755 h 790848"/>
              <a:gd name="connsiteX8" fmla="*/ 0 w 1672752"/>
              <a:gd name="connsiteY8" fmla="*/ 63436 h 790848"/>
              <a:gd name="connsiteX0" fmla="*/ 1144 w 1673896"/>
              <a:gd name="connsiteY0" fmla="*/ 63436 h 790848"/>
              <a:gd name="connsiteX1" fmla="*/ 64580 w 1673896"/>
              <a:gd name="connsiteY1" fmla="*/ 0 h 790848"/>
              <a:gd name="connsiteX2" fmla="*/ 1610186 w 1673896"/>
              <a:gd name="connsiteY2" fmla="*/ 0 h 790848"/>
              <a:gd name="connsiteX3" fmla="*/ 1673622 w 1673896"/>
              <a:gd name="connsiteY3" fmla="*/ 63436 h 790848"/>
              <a:gd name="connsiteX4" fmla="*/ 1673622 w 1673896"/>
              <a:gd name="connsiteY4" fmla="*/ 727138 h 790848"/>
              <a:gd name="connsiteX5" fmla="*/ 1643803 w 1673896"/>
              <a:gd name="connsiteY5" fmla="*/ 779368 h 790848"/>
              <a:gd name="connsiteX6" fmla="*/ 26784 w 1673896"/>
              <a:gd name="connsiteY6" fmla="*/ 790574 h 790848"/>
              <a:gd name="connsiteX7" fmla="*/ 1144 w 1673896"/>
              <a:gd name="connsiteY7" fmla="*/ 760755 h 790848"/>
              <a:gd name="connsiteX8" fmla="*/ 1144 w 1673896"/>
              <a:gd name="connsiteY8" fmla="*/ 63436 h 79084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673896" h="790848">
                <a:moveTo>
                  <a:pt x="1144" y="63436"/>
                </a:moveTo>
                <a:cubicBezTo>
                  <a:pt x="1144" y="28401"/>
                  <a:pt x="29545" y="0"/>
                  <a:pt x="64580" y="0"/>
                </a:cubicBezTo>
                <a:lnTo>
                  <a:pt x="1610186" y="0"/>
                </a:lnTo>
                <a:cubicBezTo>
                  <a:pt x="1645221" y="0"/>
                  <a:pt x="1673622" y="28401"/>
                  <a:pt x="1673622" y="63436"/>
                </a:cubicBezTo>
                <a:lnTo>
                  <a:pt x="1673622" y="727138"/>
                </a:lnTo>
                <a:cubicBezTo>
                  <a:pt x="1673622" y="762173"/>
                  <a:pt x="1678838" y="779368"/>
                  <a:pt x="1643803" y="779368"/>
                </a:cubicBezTo>
                <a:lnTo>
                  <a:pt x="26784" y="790574"/>
                </a:lnTo>
                <a:cubicBezTo>
                  <a:pt x="-8251" y="790574"/>
                  <a:pt x="1144" y="795790"/>
                  <a:pt x="1144" y="760755"/>
                </a:cubicBezTo>
                <a:lnTo>
                  <a:pt x="1144" y="63436"/>
                </a:lnTo>
                <a:close/>
              </a:path>
            </a:pathLst>
          </a:cu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8" name="Retângulo: Cantos Arredondados 16">
            <a:extLst>
              <a:ext uri="{FF2B5EF4-FFF2-40B4-BE49-F238E27FC236}">
                <a16:creationId xmlns:a16="http://schemas.microsoft.com/office/drawing/2014/main" id="{82FDB191-9245-7011-FBDA-6541A8448642}"/>
              </a:ext>
            </a:extLst>
          </xdr:cNvPr>
          <xdr:cNvSpPr/>
        </xdr:nvSpPr>
        <xdr:spPr>
          <a:xfrm>
            <a:off x="4061402" y="4006193"/>
            <a:ext cx="4934104" cy="250186"/>
          </a:xfrm>
          <a:custGeom>
            <a:avLst/>
            <a:gdLst>
              <a:gd name="connsiteX0" fmla="*/ 0 w 1672478"/>
              <a:gd name="connsiteY0" fmla="*/ 63436 h 790574"/>
              <a:gd name="connsiteX1" fmla="*/ 63436 w 1672478"/>
              <a:gd name="connsiteY1" fmla="*/ 0 h 790574"/>
              <a:gd name="connsiteX2" fmla="*/ 1609042 w 1672478"/>
              <a:gd name="connsiteY2" fmla="*/ 0 h 790574"/>
              <a:gd name="connsiteX3" fmla="*/ 1672478 w 1672478"/>
              <a:gd name="connsiteY3" fmla="*/ 63436 h 790574"/>
              <a:gd name="connsiteX4" fmla="*/ 1672478 w 1672478"/>
              <a:gd name="connsiteY4" fmla="*/ 727138 h 790574"/>
              <a:gd name="connsiteX5" fmla="*/ 1609042 w 1672478"/>
              <a:gd name="connsiteY5" fmla="*/ 790574 h 790574"/>
              <a:gd name="connsiteX6" fmla="*/ 63436 w 1672478"/>
              <a:gd name="connsiteY6" fmla="*/ 790574 h 790574"/>
              <a:gd name="connsiteX7" fmla="*/ 0 w 1672478"/>
              <a:gd name="connsiteY7" fmla="*/ 727138 h 790574"/>
              <a:gd name="connsiteX8" fmla="*/ 0 w 1672478"/>
              <a:gd name="connsiteY8" fmla="*/ 63436 h 790574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752"/>
              <a:gd name="connsiteY0" fmla="*/ 63436 h 790848"/>
              <a:gd name="connsiteX1" fmla="*/ 63436 w 1672752"/>
              <a:gd name="connsiteY1" fmla="*/ 0 h 790848"/>
              <a:gd name="connsiteX2" fmla="*/ 1609042 w 1672752"/>
              <a:gd name="connsiteY2" fmla="*/ 0 h 790848"/>
              <a:gd name="connsiteX3" fmla="*/ 1672478 w 1672752"/>
              <a:gd name="connsiteY3" fmla="*/ 63436 h 790848"/>
              <a:gd name="connsiteX4" fmla="*/ 1672478 w 1672752"/>
              <a:gd name="connsiteY4" fmla="*/ 727138 h 790848"/>
              <a:gd name="connsiteX5" fmla="*/ 1642659 w 1672752"/>
              <a:gd name="connsiteY5" fmla="*/ 779368 h 790848"/>
              <a:gd name="connsiteX6" fmla="*/ 63436 w 1672752"/>
              <a:gd name="connsiteY6" fmla="*/ 790574 h 790848"/>
              <a:gd name="connsiteX7" fmla="*/ 0 w 1672752"/>
              <a:gd name="connsiteY7" fmla="*/ 760755 h 790848"/>
              <a:gd name="connsiteX8" fmla="*/ 0 w 1672752"/>
              <a:gd name="connsiteY8" fmla="*/ 63436 h 790848"/>
              <a:gd name="connsiteX0" fmla="*/ 1144 w 1673896"/>
              <a:gd name="connsiteY0" fmla="*/ 63436 h 790848"/>
              <a:gd name="connsiteX1" fmla="*/ 64580 w 1673896"/>
              <a:gd name="connsiteY1" fmla="*/ 0 h 790848"/>
              <a:gd name="connsiteX2" fmla="*/ 1610186 w 1673896"/>
              <a:gd name="connsiteY2" fmla="*/ 0 h 790848"/>
              <a:gd name="connsiteX3" fmla="*/ 1673622 w 1673896"/>
              <a:gd name="connsiteY3" fmla="*/ 63436 h 790848"/>
              <a:gd name="connsiteX4" fmla="*/ 1673622 w 1673896"/>
              <a:gd name="connsiteY4" fmla="*/ 727138 h 790848"/>
              <a:gd name="connsiteX5" fmla="*/ 1643803 w 1673896"/>
              <a:gd name="connsiteY5" fmla="*/ 779368 h 790848"/>
              <a:gd name="connsiteX6" fmla="*/ 26784 w 1673896"/>
              <a:gd name="connsiteY6" fmla="*/ 790574 h 790848"/>
              <a:gd name="connsiteX7" fmla="*/ 1144 w 1673896"/>
              <a:gd name="connsiteY7" fmla="*/ 760755 h 790848"/>
              <a:gd name="connsiteX8" fmla="*/ 1144 w 1673896"/>
              <a:gd name="connsiteY8" fmla="*/ 63436 h 79084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673896" h="790848">
                <a:moveTo>
                  <a:pt x="1144" y="63436"/>
                </a:moveTo>
                <a:cubicBezTo>
                  <a:pt x="1144" y="28401"/>
                  <a:pt x="29545" y="0"/>
                  <a:pt x="64580" y="0"/>
                </a:cubicBezTo>
                <a:lnTo>
                  <a:pt x="1610186" y="0"/>
                </a:lnTo>
                <a:cubicBezTo>
                  <a:pt x="1645221" y="0"/>
                  <a:pt x="1673622" y="28401"/>
                  <a:pt x="1673622" y="63436"/>
                </a:cubicBezTo>
                <a:lnTo>
                  <a:pt x="1673622" y="727138"/>
                </a:lnTo>
                <a:cubicBezTo>
                  <a:pt x="1673622" y="762173"/>
                  <a:pt x="1678838" y="779368"/>
                  <a:pt x="1643803" y="779368"/>
                </a:cubicBezTo>
                <a:lnTo>
                  <a:pt x="26784" y="790574"/>
                </a:lnTo>
                <a:cubicBezTo>
                  <a:pt x="-8251" y="790574"/>
                  <a:pt x="1144" y="795790"/>
                  <a:pt x="1144" y="760755"/>
                </a:cubicBezTo>
                <a:lnTo>
                  <a:pt x="1144" y="63436"/>
                </a:lnTo>
                <a:close/>
              </a:path>
            </a:pathLst>
          </a:cu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u="sng"/>
          </a:p>
        </xdr:txBody>
      </xdr:sp>
    </xdr:grpSp>
    <xdr:clientData/>
  </xdr:twoCellAnchor>
  <xdr:twoCellAnchor>
    <xdr:from>
      <xdr:col>15</xdr:col>
      <xdr:colOff>85725</xdr:colOff>
      <xdr:row>20</xdr:row>
      <xdr:rowOff>172471</xdr:rowOff>
    </xdr:from>
    <xdr:to>
      <xdr:col>19</xdr:col>
      <xdr:colOff>593912</xdr:colOff>
      <xdr:row>27</xdr:row>
      <xdr:rowOff>33619</xdr:rowOff>
    </xdr:to>
    <xdr:grpSp>
      <xdr:nvGrpSpPr>
        <xdr:cNvPr id="3076" name="Agrupar 3075">
          <a:extLst>
            <a:ext uri="{FF2B5EF4-FFF2-40B4-BE49-F238E27FC236}">
              <a16:creationId xmlns:a16="http://schemas.microsoft.com/office/drawing/2014/main" id="{F4EF663F-3B13-A5B2-2012-49EC0B05F2ED}"/>
            </a:ext>
          </a:extLst>
        </xdr:cNvPr>
        <xdr:cNvGrpSpPr/>
      </xdr:nvGrpSpPr>
      <xdr:grpSpPr>
        <a:xfrm>
          <a:off x="9229725" y="3982471"/>
          <a:ext cx="2946587" cy="1194648"/>
          <a:chOff x="9162490" y="3982471"/>
          <a:chExt cx="2928657" cy="1194648"/>
        </a:xfrm>
      </xdr:grpSpPr>
      <xdr:sp macro="" textlink="">
        <xdr:nvSpPr>
          <xdr:cNvPr id="50" name="Retângulo: Cantos Arredondados 16">
            <a:extLst>
              <a:ext uri="{FF2B5EF4-FFF2-40B4-BE49-F238E27FC236}">
                <a16:creationId xmlns:a16="http://schemas.microsoft.com/office/drawing/2014/main" id="{C811E4C6-EBB7-D584-FE6A-46A1C6025339}"/>
              </a:ext>
            </a:extLst>
          </xdr:cNvPr>
          <xdr:cNvSpPr/>
        </xdr:nvSpPr>
        <xdr:spPr>
          <a:xfrm>
            <a:off x="9164161" y="3982471"/>
            <a:ext cx="2926986" cy="1194648"/>
          </a:xfrm>
          <a:custGeom>
            <a:avLst/>
            <a:gdLst>
              <a:gd name="connsiteX0" fmla="*/ 0 w 1672478"/>
              <a:gd name="connsiteY0" fmla="*/ 63436 h 790574"/>
              <a:gd name="connsiteX1" fmla="*/ 63436 w 1672478"/>
              <a:gd name="connsiteY1" fmla="*/ 0 h 790574"/>
              <a:gd name="connsiteX2" fmla="*/ 1609042 w 1672478"/>
              <a:gd name="connsiteY2" fmla="*/ 0 h 790574"/>
              <a:gd name="connsiteX3" fmla="*/ 1672478 w 1672478"/>
              <a:gd name="connsiteY3" fmla="*/ 63436 h 790574"/>
              <a:gd name="connsiteX4" fmla="*/ 1672478 w 1672478"/>
              <a:gd name="connsiteY4" fmla="*/ 727138 h 790574"/>
              <a:gd name="connsiteX5" fmla="*/ 1609042 w 1672478"/>
              <a:gd name="connsiteY5" fmla="*/ 790574 h 790574"/>
              <a:gd name="connsiteX6" fmla="*/ 63436 w 1672478"/>
              <a:gd name="connsiteY6" fmla="*/ 790574 h 790574"/>
              <a:gd name="connsiteX7" fmla="*/ 0 w 1672478"/>
              <a:gd name="connsiteY7" fmla="*/ 727138 h 790574"/>
              <a:gd name="connsiteX8" fmla="*/ 0 w 1672478"/>
              <a:gd name="connsiteY8" fmla="*/ 63436 h 790574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752"/>
              <a:gd name="connsiteY0" fmla="*/ 63436 h 790848"/>
              <a:gd name="connsiteX1" fmla="*/ 63436 w 1672752"/>
              <a:gd name="connsiteY1" fmla="*/ 0 h 790848"/>
              <a:gd name="connsiteX2" fmla="*/ 1609042 w 1672752"/>
              <a:gd name="connsiteY2" fmla="*/ 0 h 790848"/>
              <a:gd name="connsiteX3" fmla="*/ 1672478 w 1672752"/>
              <a:gd name="connsiteY3" fmla="*/ 63436 h 790848"/>
              <a:gd name="connsiteX4" fmla="*/ 1672478 w 1672752"/>
              <a:gd name="connsiteY4" fmla="*/ 727138 h 790848"/>
              <a:gd name="connsiteX5" fmla="*/ 1642659 w 1672752"/>
              <a:gd name="connsiteY5" fmla="*/ 779368 h 790848"/>
              <a:gd name="connsiteX6" fmla="*/ 63436 w 1672752"/>
              <a:gd name="connsiteY6" fmla="*/ 790574 h 790848"/>
              <a:gd name="connsiteX7" fmla="*/ 0 w 1672752"/>
              <a:gd name="connsiteY7" fmla="*/ 760755 h 790848"/>
              <a:gd name="connsiteX8" fmla="*/ 0 w 1672752"/>
              <a:gd name="connsiteY8" fmla="*/ 63436 h 790848"/>
              <a:gd name="connsiteX0" fmla="*/ 1144 w 1673896"/>
              <a:gd name="connsiteY0" fmla="*/ 63436 h 790848"/>
              <a:gd name="connsiteX1" fmla="*/ 64580 w 1673896"/>
              <a:gd name="connsiteY1" fmla="*/ 0 h 790848"/>
              <a:gd name="connsiteX2" fmla="*/ 1610186 w 1673896"/>
              <a:gd name="connsiteY2" fmla="*/ 0 h 790848"/>
              <a:gd name="connsiteX3" fmla="*/ 1673622 w 1673896"/>
              <a:gd name="connsiteY3" fmla="*/ 63436 h 790848"/>
              <a:gd name="connsiteX4" fmla="*/ 1673622 w 1673896"/>
              <a:gd name="connsiteY4" fmla="*/ 727138 h 790848"/>
              <a:gd name="connsiteX5" fmla="*/ 1643803 w 1673896"/>
              <a:gd name="connsiteY5" fmla="*/ 779368 h 790848"/>
              <a:gd name="connsiteX6" fmla="*/ 26784 w 1673896"/>
              <a:gd name="connsiteY6" fmla="*/ 790574 h 790848"/>
              <a:gd name="connsiteX7" fmla="*/ 1144 w 1673896"/>
              <a:gd name="connsiteY7" fmla="*/ 760755 h 790848"/>
              <a:gd name="connsiteX8" fmla="*/ 1144 w 1673896"/>
              <a:gd name="connsiteY8" fmla="*/ 63436 h 79084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673896" h="790848">
                <a:moveTo>
                  <a:pt x="1144" y="63436"/>
                </a:moveTo>
                <a:cubicBezTo>
                  <a:pt x="1144" y="28401"/>
                  <a:pt x="29545" y="0"/>
                  <a:pt x="64580" y="0"/>
                </a:cubicBezTo>
                <a:lnTo>
                  <a:pt x="1610186" y="0"/>
                </a:lnTo>
                <a:cubicBezTo>
                  <a:pt x="1645221" y="0"/>
                  <a:pt x="1673622" y="28401"/>
                  <a:pt x="1673622" y="63436"/>
                </a:cubicBezTo>
                <a:lnTo>
                  <a:pt x="1673622" y="727138"/>
                </a:lnTo>
                <a:cubicBezTo>
                  <a:pt x="1673622" y="762173"/>
                  <a:pt x="1678838" y="779368"/>
                  <a:pt x="1643803" y="779368"/>
                </a:cubicBezTo>
                <a:lnTo>
                  <a:pt x="26784" y="790574"/>
                </a:lnTo>
                <a:cubicBezTo>
                  <a:pt x="-8251" y="790574"/>
                  <a:pt x="1144" y="795790"/>
                  <a:pt x="1144" y="760755"/>
                </a:cubicBezTo>
                <a:lnTo>
                  <a:pt x="1144" y="63436"/>
                </a:lnTo>
                <a:close/>
              </a:path>
            </a:pathLst>
          </a:cu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" name="Retângulo: Cantos Arredondados 16">
            <a:extLst>
              <a:ext uri="{FF2B5EF4-FFF2-40B4-BE49-F238E27FC236}">
                <a16:creationId xmlns:a16="http://schemas.microsoft.com/office/drawing/2014/main" id="{871FA7BA-3F71-AE49-FFA5-875425478EAE}"/>
              </a:ext>
            </a:extLst>
          </xdr:cNvPr>
          <xdr:cNvSpPr/>
        </xdr:nvSpPr>
        <xdr:spPr>
          <a:xfrm>
            <a:off x="9162490" y="3983781"/>
            <a:ext cx="2926986" cy="263008"/>
          </a:xfrm>
          <a:custGeom>
            <a:avLst/>
            <a:gdLst>
              <a:gd name="connsiteX0" fmla="*/ 0 w 1672478"/>
              <a:gd name="connsiteY0" fmla="*/ 63436 h 790574"/>
              <a:gd name="connsiteX1" fmla="*/ 63436 w 1672478"/>
              <a:gd name="connsiteY1" fmla="*/ 0 h 790574"/>
              <a:gd name="connsiteX2" fmla="*/ 1609042 w 1672478"/>
              <a:gd name="connsiteY2" fmla="*/ 0 h 790574"/>
              <a:gd name="connsiteX3" fmla="*/ 1672478 w 1672478"/>
              <a:gd name="connsiteY3" fmla="*/ 63436 h 790574"/>
              <a:gd name="connsiteX4" fmla="*/ 1672478 w 1672478"/>
              <a:gd name="connsiteY4" fmla="*/ 727138 h 790574"/>
              <a:gd name="connsiteX5" fmla="*/ 1609042 w 1672478"/>
              <a:gd name="connsiteY5" fmla="*/ 790574 h 790574"/>
              <a:gd name="connsiteX6" fmla="*/ 63436 w 1672478"/>
              <a:gd name="connsiteY6" fmla="*/ 790574 h 790574"/>
              <a:gd name="connsiteX7" fmla="*/ 0 w 1672478"/>
              <a:gd name="connsiteY7" fmla="*/ 727138 h 790574"/>
              <a:gd name="connsiteX8" fmla="*/ 0 w 1672478"/>
              <a:gd name="connsiteY8" fmla="*/ 63436 h 790574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752"/>
              <a:gd name="connsiteY0" fmla="*/ 63436 h 790848"/>
              <a:gd name="connsiteX1" fmla="*/ 63436 w 1672752"/>
              <a:gd name="connsiteY1" fmla="*/ 0 h 790848"/>
              <a:gd name="connsiteX2" fmla="*/ 1609042 w 1672752"/>
              <a:gd name="connsiteY2" fmla="*/ 0 h 790848"/>
              <a:gd name="connsiteX3" fmla="*/ 1672478 w 1672752"/>
              <a:gd name="connsiteY3" fmla="*/ 63436 h 790848"/>
              <a:gd name="connsiteX4" fmla="*/ 1672478 w 1672752"/>
              <a:gd name="connsiteY4" fmla="*/ 727138 h 790848"/>
              <a:gd name="connsiteX5" fmla="*/ 1642659 w 1672752"/>
              <a:gd name="connsiteY5" fmla="*/ 779368 h 790848"/>
              <a:gd name="connsiteX6" fmla="*/ 63436 w 1672752"/>
              <a:gd name="connsiteY6" fmla="*/ 790574 h 790848"/>
              <a:gd name="connsiteX7" fmla="*/ 0 w 1672752"/>
              <a:gd name="connsiteY7" fmla="*/ 760755 h 790848"/>
              <a:gd name="connsiteX8" fmla="*/ 0 w 1672752"/>
              <a:gd name="connsiteY8" fmla="*/ 63436 h 790848"/>
              <a:gd name="connsiteX0" fmla="*/ 1144 w 1673896"/>
              <a:gd name="connsiteY0" fmla="*/ 63436 h 790848"/>
              <a:gd name="connsiteX1" fmla="*/ 64580 w 1673896"/>
              <a:gd name="connsiteY1" fmla="*/ 0 h 790848"/>
              <a:gd name="connsiteX2" fmla="*/ 1610186 w 1673896"/>
              <a:gd name="connsiteY2" fmla="*/ 0 h 790848"/>
              <a:gd name="connsiteX3" fmla="*/ 1673622 w 1673896"/>
              <a:gd name="connsiteY3" fmla="*/ 63436 h 790848"/>
              <a:gd name="connsiteX4" fmla="*/ 1673622 w 1673896"/>
              <a:gd name="connsiteY4" fmla="*/ 727138 h 790848"/>
              <a:gd name="connsiteX5" fmla="*/ 1643803 w 1673896"/>
              <a:gd name="connsiteY5" fmla="*/ 779368 h 790848"/>
              <a:gd name="connsiteX6" fmla="*/ 26784 w 1673896"/>
              <a:gd name="connsiteY6" fmla="*/ 790574 h 790848"/>
              <a:gd name="connsiteX7" fmla="*/ 1144 w 1673896"/>
              <a:gd name="connsiteY7" fmla="*/ 760755 h 790848"/>
              <a:gd name="connsiteX8" fmla="*/ 1144 w 1673896"/>
              <a:gd name="connsiteY8" fmla="*/ 63436 h 79084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673896" h="790848">
                <a:moveTo>
                  <a:pt x="1144" y="63436"/>
                </a:moveTo>
                <a:cubicBezTo>
                  <a:pt x="1144" y="28401"/>
                  <a:pt x="29545" y="0"/>
                  <a:pt x="64580" y="0"/>
                </a:cubicBezTo>
                <a:lnTo>
                  <a:pt x="1610186" y="0"/>
                </a:lnTo>
                <a:cubicBezTo>
                  <a:pt x="1645221" y="0"/>
                  <a:pt x="1673622" y="28401"/>
                  <a:pt x="1673622" y="63436"/>
                </a:cubicBezTo>
                <a:lnTo>
                  <a:pt x="1673622" y="727138"/>
                </a:lnTo>
                <a:cubicBezTo>
                  <a:pt x="1673622" y="762173"/>
                  <a:pt x="1678838" y="779368"/>
                  <a:pt x="1643803" y="779368"/>
                </a:cubicBezTo>
                <a:lnTo>
                  <a:pt x="26784" y="790574"/>
                </a:lnTo>
                <a:cubicBezTo>
                  <a:pt x="-8251" y="790574"/>
                  <a:pt x="1144" y="795790"/>
                  <a:pt x="1144" y="760755"/>
                </a:cubicBezTo>
                <a:lnTo>
                  <a:pt x="1144" y="63436"/>
                </a:lnTo>
                <a:close/>
              </a:path>
            </a:pathLst>
          </a:cu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118793</xdr:colOff>
      <xdr:row>10</xdr:row>
      <xdr:rowOff>95251</xdr:rowOff>
    </xdr:from>
    <xdr:to>
      <xdr:col>14</xdr:col>
      <xdr:colOff>515567</xdr:colOff>
      <xdr:row>19</xdr:row>
      <xdr:rowOff>179294</xdr:rowOff>
    </xdr:to>
    <xdr:grpSp>
      <xdr:nvGrpSpPr>
        <xdr:cNvPr id="3078" name="Agrupar 3077">
          <a:extLst>
            <a:ext uri="{FF2B5EF4-FFF2-40B4-BE49-F238E27FC236}">
              <a16:creationId xmlns:a16="http://schemas.microsoft.com/office/drawing/2014/main" id="{0C9ACFB9-F981-E0DB-732D-6FEDD57870A1}"/>
            </a:ext>
          </a:extLst>
        </xdr:cNvPr>
        <xdr:cNvGrpSpPr/>
      </xdr:nvGrpSpPr>
      <xdr:grpSpPr>
        <a:xfrm>
          <a:off x="4385993" y="2000251"/>
          <a:ext cx="4663974" cy="1798543"/>
          <a:chOff x="4067735" y="2024343"/>
          <a:chExt cx="4941794" cy="1819275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92A8C75A-25B0-7877-5EB8-0F76FDF52D72}"/>
              </a:ext>
            </a:extLst>
          </xdr:cNvPr>
          <xdr:cNvSpPr/>
        </xdr:nvSpPr>
        <xdr:spPr>
          <a:xfrm>
            <a:off x="4067735" y="2024343"/>
            <a:ext cx="4941794" cy="1819275"/>
          </a:xfrm>
          <a:prstGeom prst="roundRect">
            <a:avLst>
              <a:gd name="adj" fmla="val 2953"/>
            </a:avLst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1" name="Retângulo: Cantos Arredondados 16">
            <a:extLst>
              <a:ext uri="{FF2B5EF4-FFF2-40B4-BE49-F238E27FC236}">
                <a16:creationId xmlns:a16="http://schemas.microsoft.com/office/drawing/2014/main" id="{CA15E193-8277-2FAC-D84F-CC047E497699}"/>
              </a:ext>
            </a:extLst>
          </xdr:cNvPr>
          <xdr:cNvSpPr/>
        </xdr:nvSpPr>
        <xdr:spPr>
          <a:xfrm>
            <a:off x="4068126" y="2029476"/>
            <a:ext cx="4934104" cy="250186"/>
          </a:xfrm>
          <a:custGeom>
            <a:avLst/>
            <a:gdLst>
              <a:gd name="connsiteX0" fmla="*/ 0 w 1672478"/>
              <a:gd name="connsiteY0" fmla="*/ 63436 h 790574"/>
              <a:gd name="connsiteX1" fmla="*/ 63436 w 1672478"/>
              <a:gd name="connsiteY1" fmla="*/ 0 h 790574"/>
              <a:gd name="connsiteX2" fmla="*/ 1609042 w 1672478"/>
              <a:gd name="connsiteY2" fmla="*/ 0 h 790574"/>
              <a:gd name="connsiteX3" fmla="*/ 1672478 w 1672478"/>
              <a:gd name="connsiteY3" fmla="*/ 63436 h 790574"/>
              <a:gd name="connsiteX4" fmla="*/ 1672478 w 1672478"/>
              <a:gd name="connsiteY4" fmla="*/ 727138 h 790574"/>
              <a:gd name="connsiteX5" fmla="*/ 1609042 w 1672478"/>
              <a:gd name="connsiteY5" fmla="*/ 790574 h 790574"/>
              <a:gd name="connsiteX6" fmla="*/ 63436 w 1672478"/>
              <a:gd name="connsiteY6" fmla="*/ 790574 h 790574"/>
              <a:gd name="connsiteX7" fmla="*/ 0 w 1672478"/>
              <a:gd name="connsiteY7" fmla="*/ 727138 h 790574"/>
              <a:gd name="connsiteX8" fmla="*/ 0 w 1672478"/>
              <a:gd name="connsiteY8" fmla="*/ 63436 h 790574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752"/>
              <a:gd name="connsiteY0" fmla="*/ 63436 h 790848"/>
              <a:gd name="connsiteX1" fmla="*/ 63436 w 1672752"/>
              <a:gd name="connsiteY1" fmla="*/ 0 h 790848"/>
              <a:gd name="connsiteX2" fmla="*/ 1609042 w 1672752"/>
              <a:gd name="connsiteY2" fmla="*/ 0 h 790848"/>
              <a:gd name="connsiteX3" fmla="*/ 1672478 w 1672752"/>
              <a:gd name="connsiteY3" fmla="*/ 63436 h 790848"/>
              <a:gd name="connsiteX4" fmla="*/ 1672478 w 1672752"/>
              <a:gd name="connsiteY4" fmla="*/ 727138 h 790848"/>
              <a:gd name="connsiteX5" fmla="*/ 1642659 w 1672752"/>
              <a:gd name="connsiteY5" fmla="*/ 779368 h 790848"/>
              <a:gd name="connsiteX6" fmla="*/ 63436 w 1672752"/>
              <a:gd name="connsiteY6" fmla="*/ 790574 h 790848"/>
              <a:gd name="connsiteX7" fmla="*/ 0 w 1672752"/>
              <a:gd name="connsiteY7" fmla="*/ 760755 h 790848"/>
              <a:gd name="connsiteX8" fmla="*/ 0 w 1672752"/>
              <a:gd name="connsiteY8" fmla="*/ 63436 h 790848"/>
              <a:gd name="connsiteX0" fmla="*/ 1144 w 1673896"/>
              <a:gd name="connsiteY0" fmla="*/ 63436 h 790848"/>
              <a:gd name="connsiteX1" fmla="*/ 64580 w 1673896"/>
              <a:gd name="connsiteY1" fmla="*/ 0 h 790848"/>
              <a:gd name="connsiteX2" fmla="*/ 1610186 w 1673896"/>
              <a:gd name="connsiteY2" fmla="*/ 0 h 790848"/>
              <a:gd name="connsiteX3" fmla="*/ 1673622 w 1673896"/>
              <a:gd name="connsiteY3" fmla="*/ 63436 h 790848"/>
              <a:gd name="connsiteX4" fmla="*/ 1673622 w 1673896"/>
              <a:gd name="connsiteY4" fmla="*/ 727138 h 790848"/>
              <a:gd name="connsiteX5" fmla="*/ 1643803 w 1673896"/>
              <a:gd name="connsiteY5" fmla="*/ 779368 h 790848"/>
              <a:gd name="connsiteX6" fmla="*/ 26784 w 1673896"/>
              <a:gd name="connsiteY6" fmla="*/ 790574 h 790848"/>
              <a:gd name="connsiteX7" fmla="*/ 1144 w 1673896"/>
              <a:gd name="connsiteY7" fmla="*/ 760755 h 790848"/>
              <a:gd name="connsiteX8" fmla="*/ 1144 w 1673896"/>
              <a:gd name="connsiteY8" fmla="*/ 63436 h 79084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673896" h="790848">
                <a:moveTo>
                  <a:pt x="1144" y="63436"/>
                </a:moveTo>
                <a:cubicBezTo>
                  <a:pt x="1144" y="28401"/>
                  <a:pt x="29545" y="0"/>
                  <a:pt x="64580" y="0"/>
                </a:cubicBezTo>
                <a:lnTo>
                  <a:pt x="1610186" y="0"/>
                </a:lnTo>
                <a:cubicBezTo>
                  <a:pt x="1645221" y="0"/>
                  <a:pt x="1673622" y="28401"/>
                  <a:pt x="1673622" y="63436"/>
                </a:cubicBezTo>
                <a:lnTo>
                  <a:pt x="1673622" y="727138"/>
                </a:lnTo>
                <a:cubicBezTo>
                  <a:pt x="1673622" y="762173"/>
                  <a:pt x="1678838" y="779368"/>
                  <a:pt x="1643803" y="779368"/>
                </a:cubicBezTo>
                <a:lnTo>
                  <a:pt x="26784" y="790574"/>
                </a:lnTo>
                <a:cubicBezTo>
                  <a:pt x="-8251" y="790574"/>
                  <a:pt x="1144" y="795790"/>
                  <a:pt x="1144" y="760755"/>
                </a:cubicBezTo>
                <a:lnTo>
                  <a:pt x="1144" y="63436"/>
                </a:lnTo>
                <a:close/>
              </a:path>
            </a:pathLst>
          </a:cu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u="sng"/>
          </a:p>
        </xdr:txBody>
      </xdr:sp>
    </xdr:grpSp>
    <xdr:clientData/>
  </xdr:twoCellAnchor>
  <xdr:twoCellAnchor>
    <xdr:from>
      <xdr:col>15</xdr:col>
      <xdr:colOff>84741</xdr:colOff>
      <xdr:row>10</xdr:row>
      <xdr:rowOff>95251</xdr:rowOff>
    </xdr:from>
    <xdr:to>
      <xdr:col>19</xdr:col>
      <xdr:colOff>585213</xdr:colOff>
      <xdr:row>19</xdr:row>
      <xdr:rowOff>169686</xdr:rowOff>
    </xdr:to>
    <xdr:grpSp>
      <xdr:nvGrpSpPr>
        <xdr:cNvPr id="3079" name="Agrupar 3078">
          <a:extLst>
            <a:ext uri="{FF2B5EF4-FFF2-40B4-BE49-F238E27FC236}">
              <a16:creationId xmlns:a16="http://schemas.microsoft.com/office/drawing/2014/main" id="{7756C660-C5C9-D4F6-654D-0A16A87BC393}"/>
            </a:ext>
          </a:extLst>
        </xdr:cNvPr>
        <xdr:cNvGrpSpPr/>
      </xdr:nvGrpSpPr>
      <xdr:grpSpPr>
        <a:xfrm>
          <a:off x="9228741" y="2000251"/>
          <a:ext cx="2938872" cy="1788935"/>
          <a:chOff x="9161513" y="2031156"/>
          <a:chExt cx="2916675" cy="1809556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10313C55-9B9A-230F-C4CC-2E323870381C}"/>
              </a:ext>
            </a:extLst>
          </xdr:cNvPr>
          <xdr:cNvSpPr/>
        </xdr:nvSpPr>
        <xdr:spPr>
          <a:xfrm>
            <a:off x="9171942" y="2071408"/>
            <a:ext cx="2906246" cy="1769304"/>
          </a:xfrm>
          <a:prstGeom prst="roundRect">
            <a:avLst>
              <a:gd name="adj" fmla="val 2953"/>
            </a:avLst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72" name="Retângulo: Cantos Arredondados 16">
            <a:extLst>
              <a:ext uri="{FF2B5EF4-FFF2-40B4-BE49-F238E27FC236}">
                <a16:creationId xmlns:a16="http://schemas.microsoft.com/office/drawing/2014/main" id="{70A0638B-ED2B-7515-DD8F-914F9FA83BCB}"/>
              </a:ext>
            </a:extLst>
          </xdr:cNvPr>
          <xdr:cNvSpPr/>
        </xdr:nvSpPr>
        <xdr:spPr>
          <a:xfrm>
            <a:off x="9161513" y="2031156"/>
            <a:ext cx="2912517" cy="263008"/>
          </a:xfrm>
          <a:custGeom>
            <a:avLst/>
            <a:gdLst>
              <a:gd name="connsiteX0" fmla="*/ 0 w 1672478"/>
              <a:gd name="connsiteY0" fmla="*/ 63436 h 790574"/>
              <a:gd name="connsiteX1" fmla="*/ 63436 w 1672478"/>
              <a:gd name="connsiteY1" fmla="*/ 0 h 790574"/>
              <a:gd name="connsiteX2" fmla="*/ 1609042 w 1672478"/>
              <a:gd name="connsiteY2" fmla="*/ 0 h 790574"/>
              <a:gd name="connsiteX3" fmla="*/ 1672478 w 1672478"/>
              <a:gd name="connsiteY3" fmla="*/ 63436 h 790574"/>
              <a:gd name="connsiteX4" fmla="*/ 1672478 w 1672478"/>
              <a:gd name="connsiteY4" fmla="*/ 727138 h 790574"/>
              <a:gd name="connsiteX5" fmla="*/ 1609042 w 1672478"/>
              <a:gd name="connsiteY5" fmla="*/ 790574 h 790574"/>
              <a:gd name="connsiteX6" fmla="*/ 63436 w 1672478"/>
              <a:gd name="connsiteY6" fmla="*/ 790574 h 790574"/>
              <a:gd name="connsiteX7" fmla="*/ 0 w 1672478"/>
              <a:gd name="connsiteY7" fmla="*/ 727138 h 790574"/>
              <a:gd name="connsiteX8" fmla="*/ 0 w 1672478"/>
              <a:gd name="connsiteY8" fmla="*/ 63436 h 790574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478"/>
              <a:gd name="connsiteY0" fmla="*/ 63436 h 790848"/>
              <a:gd name="connsiteX1" fmla="*/ 63436 w 1672478"/>
              <a:gd name="connsiteY1" fmla="*/ 0 h 790848"/>
              <a:gd name="connsiteX2" fmla="*/ 1609042 w 1672478"/>
              <a:gd name="connsiteY2" fmla="*/ 0 h 790848"/>
              <a:gd name="connsiteX3" fmla="*/ 1672478 w 1672478"/>
              <a:gd name="connsiteY3" fmla="*/ 63436 h 790848"/>
              <a:gd name="connsiteX4" fmla="*/ 1672478 w 1672478"/>
              <a:gd name="connsiteY4" fmla="*/ 727138 h 790848"/>
              <a:gd name="connsiteX5" fmla="*/ 1609042 w 1672478"/>
              <a:gd name="connsiteY5" fmla="*/ 790574 h 790848"/>
              <a:gd name="connsiteX6" fmla="*/ 63436 w 1672478"/>
              <a:gd name="connsiteY6" fmla="*/ 790574 h 790848"/>
              <a:gd name="connsiteX7" fmla="*/ 0 w 1672478"/>
              <a:gd name="connsiteY7" fmla="*/ 760755 h 790848"/>
              <a:gd name="connsiteX8" fmla="*/ 0 w 1672478"/>
              <a:gd name="connsiteY8" fmla="*/ 63436 h 790848"/>
              <a:gd name="connsiteX0" fmla="*/ 0 w 1672752"/>
              <a:gd name="connsiteY0" fmla="*/ 63436 h 790848"/>
              <a:gd name="connsiteX1" fmla="*/ 63436 w 1672752"/>
              <a:gd name="connsiteY1" fmla="*/ 0 h 790848"/>
              <a:gd name="connsiteX2" fmla="*/ 1609042 w 1672752"/>
              <a:gd name="connsiteY2" fmla="*/ 0 h 790848"/>
              <a:gd name="connsiteX3" fmla="*/ 1672478 w 1672752"/>
              <a:gd name="connsiteY3" fmla="*/ 63436 h 790848"/>
              <a:gd name="connsiteX4" fmla="*/ 1672478 w 1672752"/>
              <a:gd name="connsiteY4" fmla="*/ 727138 h 790848"/>
              <a:gd name="connsiteX5" fmla="*/ 1642659 w 1672752"/>
              <a:gd name="connsiteY5" fmla="*/ 779368 h 790848"/>
              <a:gd name="connsiteX6" fmla="*/ 63436 w 1672752"/>
              <a:gd name="connsiteY6" fmla="*/ 790574 h 790848"/>
              <a:gd name="connsiteX7" fmla="*/ 0 w 1672752"/>
              <a:gd name="connsiteY7" fmla="*/ 760755 h 790848"/>
              <a:gd name="connsiteX8" fmla="*/ 0 w 1672752"/>
              <a:gd name="connsiteY8" fmla="*/ 63436 h 790848"/>
              <a:gd name="connsiteX0" fmla="*/ 1144 w 1673896"/>
              <a:gd name="connsiteY0" fmla="*/ 63436 h 790848"/>
              <a:gd name="connsiteX1" fmla="*/ 64580 w 1673896"/>
              <a:gd name="connsiteY1" fmla="*/ 0 h 790848"/>
              <a:gd name="connsiteX2" fmla="*/ 1610186 w 1673896"/>
              <a:gd name="connsiteY2" fmla="*/ 0 h 790848"/>
              <a:gd name="connsiteX3" fmla="*/ 1673622 w 1673896"/>
              <a:gd name="connsiteY3" fmla="*/ 63436 h 790848"/>
              <a:gd name="connsiteX4" fmla="*/ 1673622 w 1673896"/>
              <a:gd name="connsiteY4" fmla="*/ 727138 h 790848"/>
              <a:gd name="connsiteX5" fmla="*/ 1643803 w 1673896"/>
              <a:gd name="connsiteY5" fmla="*/ 779368 h 790848"/>
              <a:gd name="connsiteX6" fmla="*/ 26784 w 1673896"/>
              <a:gd name="connsiteY6" fmla="*/ 790574 h 790848"/>
              <a:gd name="connsiteX7" fmla="*/ 1144 w 1673896"/>
              <a:gd name="connsiteY7" fmla="*/ 760755 h 790848"/>
              <a:gd name="connsiteX8" fmla="*/ 1144 w 1673896"/>
              <a:gd name="connsiteY8" fmla="*/ 63436 h 79084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673896" h="790848">
                <a:moveTo>
                  <a:pt x="1144" y="63436"/>
                </a:moveTo>
                <a:cubicBezTo>
                  <a:pt x="1144" y="28401"/>
                  <a:pt x="29545" y="0"/>
                  <a:pt x="64580" y="0"/>
                </a:cubicBezTo>
                <a:lnTo>
                  <a:pt x="1610186" y="0"/>
                </a:lnTo>
                <a:cubicBezTo>
                  <a:pt x="1645221" y="0"/>
                  <a:pt x="1673622" y="28401"/>
                  <a:pt x="1673622" y="63436"/>
                </a:cubicBezTo>
                <a:lnTo>
                  <a:pt x="1673622" y="727138"/>
                </a:lnTo>
                <a:cubicBezTo>
                  <a:pt x="1673622" y="762173"/>
                  <a:pt x="1678838" y="779368"/>
                  <a:pt x="1643803" y="779368"/>
                </a:cubicBezTo>
                <a:lnTo>
                  <a:pt x="26784" y="790574"/>
                </a:lnTo>
                <a:cubicBezTo>
                  <a:pt x="-8251" y="790574"/>
                  <a:pt x="1144" y="795790"/>
                  <a:pt x="1144" y="760755"/>
                </a:cubicBezTo>
                <a:lnTo>
                  <a:pt x="1144" y="63436"/>
                </a:lnTo>
                <a:close/>
              </a:path>
            </a:pathLst>
          </a:cu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oneCellAnchor>
    <xdr:from>
      <xdr:col>2</xdr:col>
      <xdr:colOff>462791</xdr:colOff>
      <xdr:row>5</xdr:row>
      <xdr:rowOff>130699</xdr:rowOff>
    </xdr:from>
    <xdr:ext cx="1563506" cy="248851"/>
    <xdr:sp macro="" textlink="Analises!C11">
      <xdr:nvSpPr>
        <xdr:cNvPr id="3080" name="Retângulo 3079">
          <a:extLst>
            <a:ext uri="{FF2B5EF4-FFF2-40B4-BE49-F238E27FC236}">
              <a16:creationId xmlns:a16="http://schemas.microsoft.com/office/drawing/2014/main" id="{129D191D-EA93-6457-6F57-BCF046767C93}"/>
            </a:ext>
          </a:extLst>
        </xdr:cNvPr>
        <xdr:cNvSpPr/>
      </xdr:nvSpPr>
      <xdr:spPr>
        <a:xfrm>
          <a:off x="1681991" y="1083199"/>
          <a:ext cx="1563506" cy="24885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fld id="{F3001C58-5415-408C-BAB1-B8DD03039155}" type="TxLink">
            <a:rPr lang="en-US" sz="1000" b="1" i="0" u="none" strike="noStrik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TOTAL DE FUNCIONÁRIOS</a:t>
          </a:fld>
          <a:endParaRPr lang="pt-PT" sz="44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6</xdr:col>
      <xdr:colOff>158749</xdr:colOff>
      <xdr:row>5</xdr:row>
      <xdr:rowOff>141595</xdr:rowOff>
    </xdr:from>
    <xdr:ext cx="1195135" cy="248851"/>
    <xdr:sp macro="" textlink="Analises!C12">
      <xdr:nvSpPr>
        <xdr:cNvPr id="3082" name="Retângulo 3081">
          <a:extLst>
            <a:ext uri="{FF2B5EF4-FFF2-40B4-BE49-F238E27FC236}">
              <a16:creationId xmlns:a16="http://schemas.microsoft.com/office/drawing/2014/main" id="{328B453A-4904-4738-B79E-5D39FD751EC3}"/>
            </a:ext>
          </a:extLst>
        </xdr:cNvPr>
        <xdr:cNvSpPr/>
      </xdr:nvSpPr>
      <xdr:spPr>
        <a:xfrm>
          <a:off x="3816349" y="1094095"/>
          <a:ext cx="1195135" cy="24885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fld id="{00F089D2-DCB6-466E-82FE-6B602A151A2E}" type="TxLink">
            <a:rPr lang="en-US" sz="1000" b="1" i="0" u="none" strike="noStrik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TOTAL DE SALÁRIO</a:t>
          </a:fld>
          <a:endParaRPr lang="pt-PT" sz="44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239507</xdr:colOff>
      <xdr:row>10</xdr:row>
      <xdr:rowOff>91972</xdr:rowOff>
    </xdr:from>
    <xdr:ext cx="1493614" cy="264560"/>
    <xdr:sp macro="" textlink="Analises!C13">
      <xdr:nvSpPr>
        <xdr:cNvPr id="3083" name="Retângulo 3082">
          <a:extLst>
            <a:ext uri="{FF2B5EF4-FFF2-40B4-BE49-F238E27FC236}">
              <a16:creationId xmlns:a16="http://schemas.microsoft.com/office/drawing/2014/main" id="{A7C7C87E-58E5-468A-8F09-025C269CD873}"/>
            </a:ext>
          </a:extLst>
        </xdr:cNvPr>
        <xdr:cNvSpPr/>
      </xdr:nvSpPr>
      <xdr:spPr>
        <a:xfrm>
          <a:off x="2054860" y="1996972"/>
          <a:ext cx="1493614" cy="2645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fld id="{1FCB6624-A7E3-48D1-A2C1-1B20F351B665}" type="TxLink">
            <a:rPr lang="en-US" sz="1100" b="1" i="0" u="none" strike="noStrik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FUNCIONÁRIO X ARÉA</a:t>
          </a:fld>
          <a:endParaRPr lang="pt-PT" sz="54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9</xdr:col>
      <xdr:colOff>237276</xdr:colOff>
      <xdr:row>10</xdr:row>
      <xdr:rowOff>102577</xdr:rowOff>
    </xdr:from>
    <xdr:ext cx="1665969" cy="256442"/>
    <xdr:sp macro="" textlink="Analises!C14">
      <xdr:nvSpPr>
        <xdr:cNvPr id="3086" name="Retângulo 3085">
          <a:extLst>
            <a:ext uri="{FF2B5EF4-FFF2-40B4-BE49-F238E27FC236}">
              <a16:creationId xmlns:a16="http://schemas.microsoft.com/office/drawing/2014/main" id="{187EAB44-E178-4970-A660-DAC85139139F}"/>
            </a:ext>
          </a:extLst>
        </xdr:cNvPr>
        <xdr:cNvSpPr/>
      </xdr:nvSpPr>
      <xdr:spPr>
        <a:xfrm>
          <a:off x="5710488" y="2007577"/>
          <a:ext cx="1665969" cy="256442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fld id="{E2BBBCE8-CF16-4209-9930-2D39C5296169}" type="TxLink">
            <a:rPr lang="en-US" sz="1100" b="1" i="0" u="none" strike="noStrik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FUNCIONÁRIOS X CARGO</a:t>
          </a:fld>
          <a:endParaRPr lang="pt-PT" sz="54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175307</xdr:colOff>
      <xdr:row>21</xdr:row>
      <xdr:rowOff>16249</xdr:rowOff>
    </xdr:from>
    <xdr:ext cx="2213684" cy="248851"/>
    <xdr:sp macro="" textlink="Analises!C16">
      <xdr:nvSpPr>
        <xdr:cNvPr id="3087" name="Retângulo 3086">
          <a:extLst>
            <a:ext uri="{FF2B5EF4-FFF2-40B4-BE49-F238E27FC236}">
              <a16:creationId xmlns:a16="http://schemas.microsoft.com/office/drawing/2014/main" id="{2ECDFC58-85CA-4A91-A859-653D1258EA0F}"/>
            </a:ext>
          </a:extLst>
        </xdr:cNvPr>
        <xdr:cNvSpPr/>
      </xdr:nvSpPr>
      <xdr:spPr>
        <a:xfrm>
          <a:off x="1990660" y="4016749"/>
          <a:ext cx="2213684" cy="24885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fld id="{58EC4E2C-370A-427B-9B23-2DC2EBF514B8}" type="TxLink">
            <a:rPr lang="en-US" sz="1000" b="1" i="0" u="none" strike="noStrik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FUNCIONÁRIO X TEMPO NA EMPRESA</a:t>
          </a:fld>
          <a:endParaRPr lang="pt-PT" sz="44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16</xdr:col>
      <xdr:colOff>167993</xdr:colOff>
      <xdr:row>10</xdr:row>
      <xdr:rowOff>109818</xdr:rowOff>
    </xdr:from>
    <xdr:ext cx="1544204" cy="248770"/>
    <xdr:sp macro="" textlink="Analises!C15">
      <xdr:nvSpPr>
        <xdr:cNvPr id="3088" name="Retângulo 3087">
          <a:extLst>
            <a:ext uri="{FF2B5EF4-FFF2-40B4-BE49-F238E27FC236}">
              <a16:creationId xmlns:a16="http://schemas.microsoft.com/office/drawing/2014/main" id="{4F61AD48-1898-4F1C-8504-467380303014}"/>
            </a:ext>
          </a:extLst>
        </xdr:cNvPr>
        <xdr:cNvSpPr/>
      </xdr:nvSpPr>
      <xdr:spPr>
        <a:xfrm>
          <a:off x="9849875" y="2014818"/>
          <a:ext cx="1544204" cy="24877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fld id="{3105CE74-4859-4EDF-AC9A-7D541D30C4C0}" type="TxLink">
            <a:rPr lang="en-US" sz="1100" b="1" i="0" u="none" strike="noStrik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FUNCIONÁRIO X IDADE</a:t>
          </a:fld>
          <a:endParaRPr lang="pt-PT" sz="54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9</xdr:col>
      <xdr:colOff>502330</xdr:colOff>
      <xdr:row>20</xdr:row>
      <xdr:rowOff>152400</xdr:rowOff>
    </xdr:from>
    <xdr:ext cx="1162947" cy="248851"/>
    <xdr:sp macro="" textlink="Analises!C17">
      <xdr:nvSpPr>
        <xdr:cNvPr id="3089" name="Retângulo 3088">
          <a:extLst>
            <a:ext uri="{FF2B5EF4-FFF2-40B4-BE49-F238E27FC236}">
              <a16:creationId xmlns:a16="http://schemas.microsoft.com/office/drawing/2014/main" id="{5348574F-1566-4C91-B629-215CA6003708}"/>
            </a:ext>
          </a:extLst>
        </xdr:cNvPr>
        <xdr:cNvSpPr/>
      </xdr:nvSpPr>
      <xdr:spPr>
        <a:xfrm>
          <a:off x="5948389" y="3962400"/>
          <a:ext cx="1162947" cy="24885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fld id="{AFE25C5E-23F5-4888-9D4C-0D712B360A72}" type="TxLink">
            <a:rPr lang="en-US" sz="1000" b="1" i="0" u="none" strike="noStrik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SALÁRIO X CARGO</a:t>
          </a:fld>
          <a:endParaRPr lang="pt-PT" sz="44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16</xdr:col>
      <xdr:colOff>177578</xdr:colOff>
      <xdr:row>20</xdr:row>
      <xdr:rowOff>182165</xdr:rowOff>
    </xdr:from>
    <xdr:ext cx="1534716" cy="248851"/>
    <xdr:sp macro="" textlink="Analises!C18">
      <xdr:nvSpPr>
        <xdr:cNvPr id="3090" name="Retângulo 3089">
          <a:extLst>
            <a:ext uri="{FF2B5EF4-FFF2-40B4-BE49-F238E27FC236}">
              <a16:creationId xmlns:a16="http://schemas.microsoft.com/office/drawing/2014/main" id="{DFD39234-1F7C-4A6B-B756-B4282EFF665E}"/>
            </a:ext>
          </a:extLst>
        </xdr:cNvPr>
        <xdr:cNvSpPr/>
      </xdr:nvSpPr>
      <xdr:spPr>
        <a:xfrm>
          <a:off x="9859460" y="3992165"/>
          <a:ext cx="1534716" cy="24885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fld id="{7E4B175E-B397-4FDB-AAAB-E24C3FFC3DF1}" type="TxLink">
            <a:rPr lang="en-US" sz="1000" b="1" i="0" u="none" strike="noStrik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FUNCIONÁRIO X GENÉRO</a:t>
          </a:fld>
          <a:endParaRPr lang="pt-PT" sz="44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2</xdr:col>
      <xdr:colOff>536086</xdr:colOff>
      <xdr:row>6</xdr:row>
      <xdr:rowOff>148939</xdr:rowOff>
    </xdr:from>
    <xdr:to>
      <xdr:col>3</xdr:col>
      <xdr:colOff>450787</xdr:colOff>
      <xdr:row>9</xdr:row>
      <xdr:rowOff>169563</xdr:rowOff>
    </xdr:to>
    <xdr:pic>
      <xdr:nvPicPr>
        <xdr:cNvPr id="3091" name="Picture 9">
          <a:extLst>
            <a:ext uri="{FF2B5EF4-FFF2-40B4-BE49-F238E27FC236}">
              <a16:creationId xmlns:a16="http://schemas.microsoft.com/office/drawing/2014/main" id="{9696CAED-7E9A-40AF-A72D-1BB3E24A8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5286" y="1291939"/>
          <a:ext cx="524301" cy="592124"/>
        </a:xfrm>
        <a:prstGeom prst="rect">
          <a:avLst/>
        </a:prstGeom>
      </xdr:spPr>
    </xdr:pic>
    <xdr:clientData/>
  </xdr:twoCellAnchor>
  <xdr:oneCellAnchor>
    <xdr:from>
      <xdr:col>3</xdr:col>
      <xdr:colOff>563863</xdr:colOff>
      <xdr:row>6</xdr:row>
      <xdr:rowOff>151712</xdr:rowOff>
    </xdr:from>
    <xdr:ext cx="808684" cy="593304"/>
    <xdr:sp macro="" textlink="Analises!D23">
      <xdr:nvSpPr>
        <xdr:cNvPr id="3092" name="Retângulo 3091">
          <a:extLst>
            <a:ext uri="{FF2B5EF4-FFF2-40B4-BE49-F238E27FC236}">
              <a16:creationId xmlns:a16="http://schemas.microsoft.com/office/drawing/2014/main" id="{DF0E0C7C-947C-6E3F-D1CF-F3A7E7688938}"/>
            </a:ext>
          </a:extLst>
        </xdr:cNvPr>
        <xdr:cNvSpPr/>
      </xdr:nvSpPr>
      <xdr:spPr>
        <a:xfrm>
          <a:off x="2379216" y="1294712"/>
          <a:ext cx="808684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fld id="{55A40FBD-AF29-48A6-BE1F-CAD929E5680C}" type="TxLink">
            <a:rPr lang="en-US" sz="3200" b="1" i="0" u="none" strike="noStrike" cap="none" spc="0">
              <a:ln w="0"/>
              <a:solidFill>
                <a:schemeClr val="accent3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4</a:t>
          </a:fld>
          <a:endParaRPr lang="pt-PT" sz="400000" b="1" i="0" cap="none" spc="0">
            <a:ln w="0"/>
            <a:solidFill>
              <a:schemeClr val="accent3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5</xdr:col>
      <xdr:colOff>445834</xdr:colOff>
      <xdr:row>6</xdr:row>
      <xdr:rowOff>129889</xdr:rowOff>
    </xdr:from>
    <xdr:to>
      <xdr:col>6</xdr:col>
      <xdr:colOff>391018</xdr:colOff>
      <xdr:row>9</xdr:row>
      <xdr:rowOff>156609</xdr:rowOff>
    </xdr:to>
    <xdr:pic>
      <xdr:nvPicPr>
        <xdr:cNvPr id="3093" name="Picture 7">
          <a:extLst>
            <a:ext uri="{FF2B5EF4-FFF2-40B4-BE49-F238E27FC236}">
              <a16:creationId xmlns:a16="http://schemas.microsoft.com/office/drawing/2014/main" id="{5C17AD24-7C99-4E69-A41E-C70DDC5BB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93834" y="1272889"/>
          <a:ext cx="554784" cy="598220"/>
        </a:xfrm>
        <a:prstGeom prst="rect">
          <a:avLst/>
        </a:prstGeom>
      </xdr:spPr>
    </xdr:pic>
    <xdr:clientData/>
  </xdr:twoCellAnchor>
  <xdr:twoCellAnchor>
    <xdr:from>
      <xdr:col>2</xdr:col>
      <xdr:colOff>481853</xdr:colOff>
      <xdr:row>12</xdr:row>
      <xdr:rowOff>8284</xdr:rowOff>
    </xdr:from>
    <xdr:to>
      <xdr:col>6</xdr:col>
      <xdr:colOff>470647</xdr:colOff>
      <xdr:row>19</xdr:row>
      <xdr:rowOff>123266</xdr:rowOff>
    </xdr:to>
    <xdr:graphicFrame macro="">
      <xdr:nvGraphicFramePr>
        <xdr:cNvPr id="3096" name="Gráfico 3095">
          <a:extLst>
            <a:ext uri="{FF2B5EF4-FFF2-40B4-BE49-F238E27FC236}">
              <a16:creationId xmlns:a16="http://schemas.microsoft.com/office/drawing/2014/main" id="{2678B610-A900-4FE0-9D6F-23D6BB761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224117</xdr:colOff>
      <xdr:row>11</xdr:row>
      <xdr:rowOff>179294</xdr:rowOff>
    </xdr:from>
    <xdr:to>
      <xdr:col>14</xdr:col>
      <xdr:colOff>493059</xdr:colOff>
      <xdr:row>19</xdr:row>
      <xdr:rowOff>168088</xdr:rowOff>
    </xdr:to>
    <xdr:graphicFrame macro="">
      <xdr:nvGraphicFramePr>
        <xdr:cNvPr id="3097" name="Gráfico 3096">
          <a:extLst>
            <a:ext uri="{FF2B5EF4-FFF2-40B4-BE49-F238E27FC236}">
              <a16:creationId xmlns:a16="http://schemas.microsoft.com/office/drawing/2014/main" id="{F30D870A-9032-4ADE-AE3D-B9EC7F779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250923</xdr:colOff>
      <xdr:row>22</xdr:row>
      <xdr:rowOff>95251</xdr:rowOff>
    </xdr:from>
    <xdr:to>
      <xdr:col>14</xdr:col>
      <xdr:colOff>409575</xdr:colOff>
      <xdr:row>27</xdr:row>
      <xdr:rowOff>42481</xdr:rowOff>
    </xdr:to>
    <xdr:graphicFrame macro="">
      <xdr:nvGraphicFramePr>
        <xdr:cNvPr id="3104" name="Gráfico 3103">
          <a:extLst>
            <a:ext uri="{FF2B5EF4-FFF2-40B4-BE49-F238E27FC236}">
              <a16:creationId xmlns:a16="http://schemas.microsoft.com/office/drawing/2014/main" id="{6AC0231A-4732-4699-92F8-438DE295FF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6</xdr:col>
      <xdr:colOff>581080</xdr:colOff>
      <xdr:row>6</xdr:row>
      <xdr:rowOff>139105</xdr:rowOff>
    </xdr:from>
    <xdr:ext cx="1068947" cy="593304"/>
    <xdr:sp macro="" textlink="Analises!D22">
      <xdr:nvSpPr>
        <xdr:cNvPr id="3106" name="Retângulo 3105">
          <a:extLst>
            <a:ext uri="{FF2B5EF4-FFF2-40B4-BE49-F238E27FC236}">
              <a16:creationId xmlns:a16="http://schemas.microsoft.com/office/drawing/2014/main" id="{7F5D8B22-441A-79EA-94F8-3DBE76CB856B}"/>
            </a:ext>
          </a:extLst>
        </xdr:cNvPr>
        <xdr:cNvSpPr/>
      </xdr:nvSpPr>
      <xdr:spPr>
        <a:xfrm>
          <a:off x="4211786" y="1282105"/>
          <a:ext cx="1068947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fld id="{6FF49858-E353-4100-B4E1-CD31D3DE5867}" type="TxLink">
            <a:rPr lang="en-US" sz="3200" b="1" i="0" u="none" strike="noStrike" cap="none" spc="0">
              <a:ln w="0"/>
              <a:solidFill>
                <a:schemeClr val="accent3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133,5K</a:t>
          </a:fld>
          <a:endParaRPr lang="pt-PT" sz="7200" b="1" cap="none" spc="0">
            <a:ln w="0"/>
            <a:solidFill>
              <a:schemeClr val="accent3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3</xdr:col>
      <xdr:colOff>14747</xdr:colOff>
      <xdr:row>10</xdr:row>
      <xdr:rowOff>69184</xdr:rowOff>
    </xdr:from>
    <xdr:to>
      <xdr:col>3</xdr:col>
      <xdr:colOff>338414</xdr:colOff>
      <xdr:row>11</xdr:row>
      <xdr:rowOff>161652</xdr:rowOff>
    </xdr:to>
    <xdr:pic>
      <xdr:nvPicPr>
        <xdr:cNvPr id="3107" name="Picture 9">
          <a:extLst>
            <a:ext uri="{FF2B5EF4-FFF2-40B4-BE49-F238E27FC236}">
              <a16:creationId xmlns:a16="http://schemas.microsoft.com/office/drawing/2014/main" id="{FA41ABB2-F247-44D9-A2BA-C1D6838BA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 bright="70000" contrast="-70000"/>
        </a:blip>
        <a:stretch>
          <a:fillRect/>
        </a:stretch>
      </xdr:blipFill>
      <xdr:spPr>
        <a:xfrm>
          <a:off x="1839151" y="1974184"/>
          <a:ext cx="323667" cy="282968"/>
        </a:xfrm>
        <a:prstGeom prst="rect">
          <a:avLst/>
        </a:prstGeom>
      </xdr:spPr>
    </xdr:pic>
    <xdr:clientData/>
  </xdr:twoCellAnchor>
  <xdr:twoCellAnchor editAs="oneCell">
    <xdr:from>
      <xdr:col>8</xdr:col>
      <xdr:colOff>600808</xdr:colOff>
      <xdr:row>10</xdr:row>
      <xdr:rowOff>85004</xdr:rowOff>
    </xdr:from>
    <xdr:to>
      <xdr:col>9</xdr:col>
      <xdr:colOff>319357</xdr:colOff>
      <xdr:row>11</xdr:row>
      <xdr:rowOff>177472</xdr:rowOff>
    </xdr:to>
    <xdr:pic>
      <xdr:nvPicPr>
        <xdr:cNvPr id="3108" name="Picture 9">
          <a:extLst>
            <a:ext uri="{FF2B5EF4-FFF2-40B4-BE49-F238E27FC236}">
              <a16:creationId xmlns:a16="http://schemas.microsoft.com/office/drawing/2014/main" id="{CF21CF2B-733C-4D4E-B412-1CE3A3BE3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 bright="70000" contrast="-70000"/>
        </a:blip>
        <a:stretch>
          <a:fillRect/>
        </a:stretch>
      </xdr:blipFill>
      <xdr:spPr>
        <a:xfrm>
          <a:off x="5465885" y="1990004"/>
          <a:ext cx="326684" cy="282968"/>
        </a:xfrm>
        <a:prstGeom prst="rect">
          <a:avLst/>
        </a:prstGeom>
      </xdr:spPr>
    </xdr:pic>
    <xdr:clientData/>
  </xdr:twoCellAnchor>
  <xdr:twoCellAnchor editAs="oneCell">
    <xdr:from>
      <xdr:col>15</xdr:col>
      <xdr:colOff>540053</xdr:colOff>
      <xdr:row>10</xdr:row>
      <xdr:rowOff>86906</xdr:rowOff>
    </xdr:from>
    <xdr:to>
      <xdr:col>16</xdr:col>
      <xdr:colOff>258603</xdr:colOff>
      <xdr:row>11</xdr:row>
      <xdr:rowOff>179374</xdr:rowOff>
    </xdr:to>
    <xdr:pic>
      <xdr:nvPicPr>
        <xdr:cNvPr id="3110" name="Picture 9">
          <a:extLst>
            <a:ext uri="{FF2B5EF4-FFF2-40B4-BE49-F238E27FC236}">
              <a16:creationId xmlns:a16="http://schemas.microsoft.com/office/drawing/2014/main" id="{719C8791-62F7-4021-BEB5-6AC33B511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 bright="70000" contrast="-70000"/>
        </a:blip>
        <a:stretch>
          <a:fillRect/>
        </a:stretch>
      </xdr:blipFill>
      <xdr:spPr>
        <a:xfrm>
          <a:off x="9616818" y="1991906"/>
          <a:ext cx="323667" cy="282968"/>
        </a:xfrm>
        <a:prstGeom prst="rect">
          <a:avLst/>
        </a:prstGeom>
      </xdr:spPr>
    </xdr:pic>
    <xdr:clientData/>
  </xdr:twoCellAnchor>
  <xdr:twoCellAnchor editAs="oneCell">
    <xdr:from>
      <xdr:col>15</xdr:col>
      <xdr:colOff>549088</xdr:colOff>
      <xdr:row>20</xdr:row>
      <xdr:rowOff>168089</xdr:rowOff>
    </xdr:from>
    <xdr:to>
      <xdr:col>16</xdr:col>
      <xdr:colOff>267638</xdr:colOff>
      <xdr:row>22</xdr:row>
      <xdr:rowOff>70057</xdr:rowOff>
    </xdr:to>
    <xdr:pic>
      <xdr:nvPicPr>
        <xdr:cNvPr id="3112" name="Picture 9">
          <a:extLst>
            <a:ext uri="{FF2B5EF4-FFF2-40B4-BE49-F238E27FC236}">
              <a16:creationId xmlns:a16="http://schemas.microsoft.com/office/drawing/2014/main" id="{34268E7B-E380-471C-8B28-02C1CD03E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 bright="70000" contrast="-70000"/>
        </a:blip>
        <a:stretch>
          <a:fillRect/>
        </a:stretch>
      </xdr:blipFill>
      <xdr:spPr>
        <a:xfrm>
          <a:off x="9625853" y="3978089"/>
          <a:ext cx="323667" cy="282968"/>
        </a:xfrm>
        <a:prstGeom prst="rect">
          <a:avLst/>
        </a:prstGeom>
      </xdr:spPr>
    </xdr:pic>
    <xdr:clientData/>
  </xdr:twoCellAnchor>
  <xdr:twoCellAnchor editAs="oneCell">
    <xdr:from>
      <xdr:col>9</xdr:col>
      <xdr:colOff>240196</xdr:colOff>
      <xdr:row>20</xdr:row>
      <xdr:rowOff>116442</xdr:rowOff>
    </xdr:from>
    <xdr:to>
      <xdr:col>9</xdr:col>
      <xdr:colOff>526676</xdr:colOff>
      <xdr:row>22</xdr:row>
      <xdr:rowOff>46867</xdr:rowOff>
    </xdr:to>
    <xdr:pic>
      <xdr:nvPicPr>
        <xdr:cNvPr id="3113" name="Picture 7">
          <a:extLst>
            <a:ext uri="{FF2B5EF4-FFF2-40B4-BE49-F238E27FC236}">
              <a16:creationId xmlns:a16="http://schemas.microsoft.com/office/drawing/2014/main" id="{E86FC09A-C6C0-452C-ADBA-7AD4DA264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lum bright="70000" contrast="-70000"/>
        </a:blip>
        <a:stretch>
          <a:fillRect/>
        </a:stretch>
      </xdr:blipFill>
      <xdr:spPr>
        <a:xfrm>
          <a:off x="5686255" y="3926442"/>
          <a:ext cx="286480" cy="311425"/>
        </a:xfrm>
        <a:prstGeom prst="rect">
          <a:avLst/>
        </a:prstGeom>
      </xdr:spPr>
    </xdr:pic>
    <xdr:clientData/>
  </xdr:twoCellAnchor>
  <xdr:twoCellAnchor editAs="oneCell">
    <xdr:from>
      <xdr:col>2</xdr:col>
      <xdr:colOff>553182</xdr:colOff>
      <xdr:row>20</xdr:row>
      <xdr:rowOff>170413</xdr:rowOff>
    </xdr:from>
    <xdr:to>
      <xdr:col>3</xdr:col>
      <xdr:colOff>271731</xdr:colOff>
      <xdr:row>22</xdr:row>
      <xdr:rowOff>72381</xdr:rowOff>
    </xdr:to>
    <xdr:pic>
      <xdr:nvPicPr>
        <xdr:cNvPr id="3114" name="Picture 9">
          <a:extLst>
            <a:ext uri="{FF2B5EF4-FFF2-40B4-BE49-F238E27FC236}">
              <a16:creationId xmlns:a16="http://schemas.microsoft.com/office/drawing/2014/main" id="{FB441EAA-4F18-477B-BFDF-FC2EA5F3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 bright="70000" contrast="-70000"/>
        </a:blip>
        <a:stretch>
          <a:fillRect/>
        </a:stretch>
      </xdr:blipFill>
      <xdr:spPr>
        <a:xfrm>
          <a:off x="1763417" y="3980413"/>
          <a:ext cx="323667" cy="282968"/>
        </a:xfrm>
        <a:prstGeom prst="rect">
          <a:avLst/>
        </a:prstGeom>
      </xdr:spPr>
    </xdr:pic>
    <xdr:clientData/>
  </xdr:twoCellAnchor>
  <xdr:twoCellAnchor>
    <xdr:from>
      <xdr:col>15</xdr:col>
      <xdr:colOff>382152</xdr:colOff>
      <xdr:row>22</xdr:row>
      <xdr:rowOff>112058</xdr:rowOff>
    </xdr:from>
    <xdr:to>
      <xdr:col>19</xdr:col>
      <xdr:colOff>179294</xdr:colOff>
      <xdr:row>26</xdr:row>
      <xdr:rowOff>179917</xdr:rowOff>
    </xdr:to>
    <xdr:graphicFrame macro="">
      <xdr:nvGraphicFramePr>
        <xdr:cNvPr id="3115" name="Gráfico 3114">
          <a:extLst>
            <a:ext uri="{FF2B5EF4-FFF2-40B4-BE49-F238E27FC236}">
              <a16:creationId xmlns:a16="http://schemas.microsoft.com/office/drawing/2014/main" id="{EE4E9359-93E4-4117-B870-11AA119C8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16</xdr:col>
      <xdr:colOff>39842</xdr:colOff>
      <xdr:row>23</xdr:row>
      <xdr:rowOff>148167</xdr:rowOff>
    </xdr:from>
    <xdr:to>
      <xdr:col>16</xdr:col>
      <xdr:colOff>487606</xdr:colOff>
      <xdr:row>26</xdr:row>
      <xdr:rowOff>22615</xdr:rowOff>
    </xdr:to>
    <xdr:pic>
      <xdr:nvPicPr>
        <xdr:cNvPr id="3116" name="Picture 4" descr="Free Male Symbol SVG, PNG Icon. Download Image.">
          <a:extLst>
            <a:ext uri="{FF2B5EF4-FFF2-40B4-BE49-F238E27FC236}">
              <a16:creationId xmlns:a16="http://schemas.microsoft.com/office/drawing/2014/main" id="{642BA3D1-1367-48AE-8226-A42151DC6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1724" y="4529667"/>
          <a:ext cx="447764" cy="4459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225836</xdr:colOff>
      <xdr:row>23</xdr:row>
      <xdr:rowOff>63500</xdr:rowOff>
    </xdr:from>
    <xdr:to>
      <xdr:col>19</xdr:col>
      <xdr:colOff>104466</xdr:colOff>
      <xdr:row>26</xdr:row>
      <xdr:rowOff>10584</xdr:rowOff>
    </xdr:to>
    <xdr:pic>
      <xdr:nvPicPr>
        <xdr:cNvPr id="3117" name="Picture 5" descr="Free Female Symbol SVG, PNG Icon. Download Image.">
          <a:extLst>
            <a:ext uri="{FF2B5EF4-FFF2-40B4-BE49-F238E27FC236}">
              <a16:creationId xmlns:a16="http://schemas.microsoft.com/office/drawing/2014/main" id="{A0E7C6E3-3359-4ECC-B478-1524A8AE6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7954" y="4445000"/>
          <a:ext cx="483747" cy="51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243416</xdr:colOff>
      <xdr:row>3</xdr:row>
      <xdr:rowOff>95250</xdr:rowOff>
    </xdr:from>
    <xdr:to>
      <xdr:col>18</xdr:col>
      <xdr:colOff>243416</xdr:colOff>
      <xdr:row>8</xdr:row>
      <xdr:rowOff>63501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18" name="Área">
              <a:extLst>
                <a:ext uri="{FF2B5EF4-FFF2-40B4-BE49-F238E27FC236}">
                  <a16:creationId xmlns:a16="http://schemas.microsoft.com/office/drawing/2014/main" id="{25474228-47CE-459B-9458-5516FC3883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Áre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04828" y="666750"/>
              <a:ext cx="3630706" cy="9207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560916</xdr:colOff>
      <xdr:row>3</xdr:row>
      <xdr:rowOff>117606</xdr:rowOff>
    </xdr:from>
    <xdr:to>
      <xdr:col>12</xdr:col>
      <xdr:colOff>95249</xdr:colOff>
      <xdr:row>8</xdr:row>
      <xdr:rowOff>74083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20" name="Género">
              <a:extLst>
                <a:ext uri="{FF2B5EF4-FFF2-40B4-BE49-F238E27FC236}">
                  <a16:creationId xmlns:a16="http://schemas.microsoft.com/office/drawing/2014/main" id="{F13526D0-F24A-4663-8DED-32144F3C6D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éne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06975" y="689106"/>
              <a:ext cx="1349686" cy="9089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54736</xdr:colOff>
      <xdr:row>8</xdr:row>
      <xdr:rowOff>67675</xdr:rowOff>
    </xdr:from>
    <xdr:to>
      <xdr:col>20</xdr:col>
      <xdr:colOff>62065</xdr:colOff>
      <xdr:row>10</xdr:row>
      <xdr:rowOff>9868</xdr:rowOff>
    </xdr:to>
    <xdr:pic>
      <xdr:nvPicPr>
        <xdr:cNvPr id="3121" name="Picture 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A3AEBA4-58AE-4FAF-9BAB-709DB693A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duotone>
            <a:prstClr val="black"/>
            <a:srgbClr val="F36E17">
              <a:tint val="45000"/>
              <a:satMod val="400000"/>
            </a:srgbClr>
          </a:duotone>
        </a:blip>
        <a:stretch>
          <a:fillRect/>
        </a:stretch>
      </xdr:blipFill>
      <xdr:spPr>
        <a:xfrm>
          <a:off x="11551971" y="1591675"/>
          <a:ext cx="612447" cy="323193"/>
        </a:xfrm>
        <a:prstGeom prst="rect">
          <a:avLst/>
        </a:prstGeom>
      </xdr:spPr>
    </xdr:pic>
    <xdr:clientData/>
  </xdr:twoCellAnchor>
  <xdr:twoCellAnchor>
    <xdr:from>
      <xdr:col>2</xdr:col>
      <xdr:colOff>549089</xdr:colOff>
      <xdr:row>22</xdr:row>
      <xdr:rowOff>89646</xdr:rowOff>
    </xdr:from>
    <xdr:to>
      <xdr:col>6</xdr:col>
      <xdr:colOff>470647</xdr:colOff>
      <xdr:row>27</xdr:row>
      <xdr:rowOff>11287</xdr:rowOff>
    </xdr:to>
    <xdr:graphicFrame macro="">
      <xdr:nvGraphicFramePr>
        <xdr:cNvPr id="3122" name="Gráfico 3121">
          <a:extLst>
            <a:ext uri="{FF2B5EF4-FFF2-40B4-BE49-F238E27FC236}">
              <a16:creationId xmlns:a16="http://schemas.microsoft.com/office/drawing/2014/main" id="{5116D1D0-DED8-4AA6-8ACC-74F9CE0024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185594</xdr:colOff>
      <xdr:row>12</xdr:row>
      <xdr:rowOff>22412</xdr:rowOff>
    </xdr:from>
    <xdr:to>
      <xdr:col>19</xdr:col>
      <xdr:colOff>481853</xdr:colOff>
      <xdr:row>20</xdr:row>
      <xdr:rowOff>115422</xdr:rowOff>
    </xdr:to>
    <xdr:graphicFrame macro="">
      <xdr:nvGraphicFramePr>
        <xdr:cNvPr id="3124" name="Gráfico 3123">
          <a:extLst>
            <a:ext uri="{FF2B5EF4-FFF2-40B4-BE49-F238E27FC236}">
              <a16:creationId xmlns:a16="http://schemas.microsoft.com/office/drawing/2014/main" id="{8D0C2C9D-CF3E-43DB-9A92-74684AF45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382681</xdr:colOff>
      <xdr:row>1</xdr:row>
      <xdr:rowOff>47625</xdr:rowOff>
    </xdr:from>
    <xdr:to>
      <xdr:col>18</xdr:col>
      <xdr:colOff>122850</xdr:colOff>
      <xdr:row>26</xdr:row>
      <xdr:rowOff>98664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102692-1139-C2C0-39B4-5B55D247C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7799" y="238125"/>
          <a:ext cx="10027169" cy="481353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ar Davide Xavier" refreshedDate="45692.982118749998" missingItemsLimit="0" createdVersion="8" refreshedVersion="8" minRefreshableVersion="3" recordCount="100" xr:uid="{8D82B9CF-BCDC-44E8-93C2-9E976E3A362D}">
  <cacheSource type="worksheet">
    <worksheetSource name="Base"/>
  </cacheSource>
  <cacheFields count="10">
    <cacheField name="Código funcionário" numFmtId="0">
      <sharedItems containsSemiMixedTypes="0" containsString="0" containsNumber="1" containsInteger="1" minValue="1" maxValue="100"/>
    </cacheField>
    <cacheField name="Nome Completo" numFmtId="0">
      <sharedItems/>
    </cacheField>
    <cacheField name="Género" numFmtId="0">
      <sharedItems count="2">
        <s v="M"/>
        <s v="F"/>
      </sharedItems>
    </cacheField>
    <cacheField name="Área" numFmtId="0">
      <sharedItems count="8">
        <s v="Projectos"/>
        <s v="Marketing"/>
        <s v="RH"/>
        <s v="Financeiro"/>
        <s v="Directoria"/>
        <s v="Comercial"/>
        <s v="Jurídico"/>
        <s v="Engenharia"/>
      </sharedItems>
    </cacheField>
    <cacheField name="Cargo" numFmtId="0">
      <sharedItems count="5">
        <s v="Gerente"/>
        <s v="Analista"/>
        <s v="Director"/>
        <s v="Estagiário"/>
        <s v="Coordenador"/>
      </sharedItems>
    </cacheField>
    <cacheField name="Salário" numFmtId="164">
      <sharedItems containsSemiMixedTypes="0" containsString="0" containsNumber="1" containsInteger="1" minValue="10345" maxValue="49170"/>
    </cacheField>
    <cacheField name="Data de entrada" numFmtId="14">
      <sharedItems containsSemiMixedTypes="0" containsNonDate="0" containsDate="1" containsString="0" minDate="2019-01-22T00:00:00" maxDate="2022-11-11T00:00:00"/>
    </cacheField>
    <cacheField name="Data de nascimento" numFmtId="14">
      <sharedItems containsSemiMixedTypes="0" containsNonDate="0" containsDate="1" containsString="0" minDate="1974-03-10T00:00:00" maxDate="1985-12-20T00:00:00"/>
    </cacheField>
    <cacheField name="Idade" numFmtId="0">
      <sharedItems containsSemiMixedTypes="0" containsString="0" containsNumber="1" containsInteger="1" minValue="40" maxValue="51" count="12">
        <n v="50"/>
        <n v="47"/>
        <n v="46"/>
        <n v="44"/>
        <n v="40"/>
        <n v="48"/>
        <n v="41"/>
        <n v="43"/>
        <n v="45"/>
        <n v="42"/>
        <n v="49"/>
        <n v="51"/>
      </sharedItems>
      <fieldGroup base="8">
        <rangePr autoStart="0" startNum="35" endNum="51" groupInterval="4"/>
        <groupItems count="6">
          <s v="&lt;35"/>
          <s v="35-38"/>
          <s v="39-42"/>
          <s v="43-46"/>
          <s v="47-51"/>
          <s v="&gt;51"/>
        </groupItems>
      </fieldGroup>
    </cacheField>
    <cacheField name="Tempo na Empresa" numFmtId="0">
      <sharedItems containsSemiMixedTypes="0" containsString="0" containsNumber="1" containsInteger="1" minValue="3" maxValue="6" count="4">
        <n v="5"/>
        <n v="6"/>
        <n v="3"/>
        <n v="4"/>
      </sharedItems>
      <fieldGroup base="9">
        <rangePr startNum="3" endNum="6" groupInterval="2"/>
        <groupItems count="4">
          <s v="&lt;3"/>
          <s v="3-4"/>
          <s v="5-6"/>
          <s v="&gt;7"/>
        </groupItems>
      </fieldGroup>
    </cacheField>
  </cacheFields>
  <extLst>
    <ext xmlns:x14="http://schemas.microsoft.com/office/spreadsheetml/2009/9/main" uri="{725AE2AE-9491-48be-B2B4-4EB974FC3084}">
      <x14:pivotCacheDefinition pivotCacheId="35930740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s v="Mateus Macamo"/>
    <x v="0"/>
    <x v="0"/>
    <x v="0"/>
    <n v="43215"/>
    <d v="2020-02-14T00:00:00"/>
    <d v="1975-09-20T00:00:00"/>
    <x v="0"/>
    <x v="0"/>
  </r>
  <r>
    <n v="2"/>
    <s v="Teresa Machai"/>
    <x v="1"/>
    <x v="0"/>
    <x v="1"/>
    <n v="31075"/>
    <d v="2019-01-22T00:00:00"/>
    <d v="1978-05-24T00:00:00"/>
    <x v="1"/>
    <x v="1"/>
  </r>
  <r>
    <n v="3"/>
    <s v="Donaldo Cuambe"/>
    <x v="0"/>
    <x v="0"/>
    <x v="1"/>
    <n v="22180"/>
    <d v="2022-05-28T00:00:00"/>
    <d v="1979-05-06T00:00:00"/>
    <x v="2"/>
    <x v="2"/>
  </r>
  <r>
    <n v="4"/>
    <s v="Elton Albino"/>
    <x v="0"/>
    <x v="1"/>
    <x v="0"/>
    <n v="33110"/>
    <d v="2022-04-18T00:00:00"/>
    <d v="1981-03-19T00:00:00"/>
    <x v="3"/>
    <x v="2"/>
  </r>
  <r>
    <n v="5"/>
    <s v="João Moaine"/>
    <x v="0"/>
    <x v="1"/>
    <x v="1"/>
    <n v="13765"/>
    <d v="2021-09-07T00:00:00"/>
    <d v="1985-08-20T00:00:00"/>
    <x v="4"/>
    <x v="3"/>
  </r>
  <r>
    <n v="6"/>
    <s v="Denny Mariquele"/>
    <x v="0"/>
    <x v="1"/>
    <x v="1"/>
    <n v="32485"/>
    <d v="2020-07-23T00:00:00"/>
    <d v="1981-07-09T00:00:00"/>
    <x v="3"/>
    <x v="0"/>
  </r>
  <r>
    <n v="7"/>
    <s v="Reginaldo Novela"/>
    <x v="0"/>
    <x v="2"/>
    <x v="1"/>
    <n v="45925"/>
    <d v="2020-02-08T00:00:00"/>
    <d v="1979-01-04T00:00:00"/>
    <x v="2"/>
    <x v="0"/>
  </r>
  <r>
    <n v="8"/>
    <s v="Alexandre Bila"/>
    <x v="0"/>
    <x v="3"/>
    <x v="0"/>
    <n v="38800"/>
    <d v="2019-08-10T00:00:00"/>
    <d v="1978-09-30T00:00:00"/>
    <x v="1"/>
    <x v="1"/>
  </r>
  <r>
    <n v="9"/>
    <s v="Luisa Manhiça"/>
    <x v="0"/>
    <x v="4"/>
    <x v="1"/>
    <n v="30080"/>
    <d v="2019-07-13T00:00:00"/>
    <d v="1977-04-12T00:00:00"/>
    <x v="5"/>
    <x v="1"/>
  </r>
  <r>
    <n v="10"/>
    <s v="Margarita Laise"/>
    <x v="1"/>
    <x v="1"/>
    <x v="2"/>
    <n v="47785"/>
    <d v="2020-01-12T00:00:00"/>
    <d v="1984-11-10T00:00:00"/>
    <x v="6"/>
    <x v="0"/>
  </r>
  <r>
    <n v="11"/>
    <s v="Omar Anlaué"/>
    <x v="0"/>
    <x v="5"/>
    <x v="3"/>
    <n v="20565"/>
    <d v="2020-12-22T00:00:00"/>
    <d v="1981-07-01T00:00:00"/>
    <x v="3"/>
    <x v="0"/>
  </r>
  <r>
    <n v="12"/>
    <s v="Alves Gonçalves"/>
    <x v="0"/>
    <x v="6"/>
    <x v="0"/>
    <n v="48055"/>
    <d v="2020-02-05T00:00:00"/>
    <d v="1977-10-27T00:00:00"/>
    <x v="5"/>
    <x v="0"/>
  </r>
  <r>
    <n v="13"/>
    <s v="Teresa Chianane"/>
    <x v="1"/>
    <x v="3"/>
    <x v="4"/>
    <n v="13090"/>
    <d v="2022-08-17T00:00:00"/>
    <d v="1981-07-30T00:00:00"/>
    <x v="3"/>
    <x v="2"/>
  </r>
  <r>
    <n v="14"/>
    <s v="Zeferina Mulungane"/>
    <x v="1"/>
    <x v="3"/>
    <x v="4"/>
    <n v="39320"/>
    <d v="2021-02-17T00:00:00"/>
    <d v="1981-01-03T00:00:00"/>
    <x v="3"/>
    <x v="3"/>
  </r>
  <r>
    <n v="15"/>
    <s v="Lucia Vinagre"/>
    <x v="1"/>
    <x v="3"/>
    <x v="1"/>
    <n v="12870"/>
    <d v="2019-06-02T00:00:00"/>
    <d v="1985-06-05T00:00:00"/>
    <x v="4"/>
    <x v="1"/>
  </r>
  <r>
    <n v="16"/>
    <s v="Ana Matavele"/>
    <x v="1"/>
    <x v="5"/>
    <x v="1"/>
    <n v="15205"/>
    <d v="2021-09-25T00:00:00"/>
    <d v="1984-10-15T00:00:00"/>
    <x v="6"/>
    <x v="3"/>
  </r>
  <r>
    <n v="17"/>
    <s v="Domingos Hureias"/>
    <x v="0"/>
    <x v="5"/>
    <x v="1"/>
    <n v="10930"/>
    <d v="2020-08-26T00:00:00"/>
    <d v="1982-11-16T00:00:00"/>
    <x v="7"/>
    <x v="0"/>
  </r>
  <r>
    <n v="18"/>
    <s v="Alberto Muthemba"/>
    <x v="0"/>
    <x v="5"/>
    <x v="1"/>
    <n v="31865"/>
    <d v="2019-07-08T00:00:00"/>
    <d v="1980-10-27T00:00:00"/>
    <x v="8"/>
    <x v="1"/>
  </r>
  <r>
    <n v="19"/>
    <s v="Jose Jr"/>
    <x v="0"/>
    <x v="5"/>
    <x v="1"/>
    <n v="46500"/>
    <d v="2022-08-24T00:00:00"/>
    <d v="1980-11-30T00:00:00"/>
    <x v="8"/>
    <x v="2"/>
  </r>
  <r>
    <n v="20"/>
    <s v="Tchiany Langa"/>
    <x v="0"/>
    <x v="1"/>
    <x v="1"/>
    <n v="42260"/>
    <d v="2021-08-17T00:00:00"/>
    <d v="1984-09-05T00:00:00"/>
    <x v="6"/>
    <x v="3"/>
  </r>
  <r>
    <n v="21"/>
    <s v="Levado Pires"/>
    <x v="0"/>
    <x v="3"/>
    <x v="3"/>
    <n v="13015"/>
    <d v="2022-03-25T00:00:00"/>
    <d v="1979-03-13T00:00:00"/>
    <x v="2"/>
    <x v="2"/>
  </r>
  <r>
    <n v="22"/>
    <s v="Hamedy Sualehe"/>
    <x v="0"/>
    <x v="3"/>
    <x v="1"/>
    <n v="25275"/>
    <d v="2021-03-01T00:00:00"/>
    <d v="1984-04-20T00:00:00"/>
    <x v="6"/>
    <x v="3"/>
  </r>
  <r>
    <n v="23"/>
    <s v="Veronica Uaieva"/>
    <x v="1"/>
    <x v="6"/>
    <x v="1"/>
    <n v="39445"/>
    <d v="2021-02-16T00:00:00"/>
    <d v="1983-04-22T00:00:00"/>
    <x v="9"/>
    <x v="3"/>
  </r>
  <r>
    <n v="24"/>
    <s v="Ibrahimo Omar"/>
    <x v="0"/>
    <x v="6"/>
    <x v="3"/>
    <n v="26205"/>
    <d v="2021-01-30T00:00:00"/>
    <d v="1975-07-29T00:00:00"/>
    <x v="0"/>
    <x v="3"/>
  </r>
  <r>
    <n v="25"/>
    <s v="Mauro Julia"/>
    <x v="0"/>
    <x v="6"/>
    <x v="1"/>
    <n v="12445"/>
    <d v="2021-05-07T00:00:00"/>
    <d v="1976-03-17T00:00:00"/>
    <x v="10"/>
    <x v="3"/>
  </r>
  <r>
    <n v="26"/>
    <s v="Helder Fogueiro"/>
    <x v="0"/>
    <x v="6"/>
    <x v="1"/>
    <n v="39810"/>
    <d v="2020-01-13T00:00:00"/>
    <d v="1981-07-02T00:00:00"/>
    <x v="3"/>
    <x v="0"/>
  </r>
  <r>
    <n v="27"/>
    <s v="Enoque Chitsumba"/>
    <x v="0"/>
    <x v="6"/>
    <x v="3"/>
    <n v="12025"/>
    <d v="2019-03-10T00:00:00"/>
    <d v="1982-09-07T00:00:00"/>
    <x v="7"/>
    <x v="1"/>
  </r>
  <r>
    <n v="28"/>
    <s v="Adam Mauaie"/>
    <x v="0"/>
    <x v="3"/>
    <x v="1"/>
    <n v="33875"/>
    <d v="2019-07-12T00:00:00"/>
    <d v="1979-10-24T00:00:00"/>
    <x v="2"/>
    <x v="1"/>
  </r>
  <r>
    <n v="29"/>
    <s v="Dério Nhalala"/>
    <x v="0"/>
    <x v="5"/>
    <x v="1"/>
    <n v="19860"/>
    <d v="2020-02-11T00:00:00"/>
    <d v="1981-11-14T00:00:00"/>
    <x v="3"/>
    <x v="0"/>
  </r>
  <r>
    <n v="30"/>
    <s v="Etelvina Xlhaisse"/>
    <x v="1"/>
    <x v="5"/>
    <x v="1"/>
    <n v="44355"/>
    <d v="2021-07-19T00:00:00"/>
    <d v="1984-03-14T00:00:00"/>
    <x v="6"/>
    <x v="3"/>
  </r>
  <r>
    <n v="31"/>
    <s v="Elisa Sitoe"/>
    <x v="1"/>
    <x v="5"/>
    <x v="1"/>
    <n v="46975"/>
    <d v="2022-06-03T00:00:00"/>
    <d v="1980-03-29T00:00:00"/>
    <x v="8"/>
    <x v="2"/>
  </r>
  <r>
    <n v="32"/>
    <s v="Félix Mungaze"/>
    <x v="0"/>
    <x v="7"/>
    <x v="1"/>
    <n v="12850"/>
    <d v="2019-02-15T00:00:00"/>
    <d v="1980-07-22T00:00:00"/>
    <x v="8"/>
    <x v="1"/>
  </r>
  <r>
    <n v="33"/>
    <s v="Salimini Mussa"/>
    <x v="0"/>
    <x v="7"/>
    <x v="1"/>
    <n v="41865"/>
    <d v="2020-08-27T00:00:00"/>
    <d v="1975-12-01T00:00:00"/>
    <x v="0"/>
    <x v="0"/>
  </r>
  <r>
    <n v="34"/>
    <s v="Noila Sibia"/>
    <x v="1"/>
    <x v="7"/>
    <x v="1"/>
    <n v="38455"/>
    <d v="2020-06-02T00:00:00"/>
    <d v="1983-09-16T00:00:00"/>
    <x v="9"/>
    <x v="0"/>
  </r>
  <r>
    <n v="35"/>
    <s v="Domingos Juvencio"/>
    <x v="0"/>
    <x v="7"/>
    <x v="3"/>
    <n v="45360"/>
    <d v="2021-10-02T00:00:00"/>
    <d v="1977-05-09T00:00:00"/>
    <x v="5"/>
    <x v="3"/>
  </r>
  <r>
    <n v="36"/>
    <s v="Natacha Macamo"/>
    <x v="1"/>
    <x v="7"/>
    <x v="1"/>
    <n v="39600"/>
    <d v="2019-09-30T00:00:00"/>
    <d v="1979-11-10T00:00:00"/>
    <x v="2"/>
    <x v="1"/>
  </r>
  <r>
    <n v="37"/>
    <s v="Eulalio Macuacua"/>
    <x v="0"/>
    <x v="7"/>
    <x v="1"/>
    <n v="35095"/>
    <d v="2021-12-31T00:00:00"/>
    <d v="1982-11-08T00:00:00"/>
    <x v="7"/>
    <x v="3"/>
  </r>
  <r>
    <n v="38"/>
    <s v="Marcela Cuambe"/>
    <x v="1"/>
    <x v="7"/>
    <x v="3"/>
    <n v="40660"/>
    <d v="2020-05-19T00:00:00"/>
    <d v="1981-08-27T00:00:00"/>
    <x v="3"/>
    <x v="0"/>
  </r>
  <r>
    <n v="39"/>
    <s v="Assane Rassul"/>
    <x v="0"/>
    <x v="1"/>
    <x v="1"/>
    <n v="47535"/>
    <d v="2020-05-27T00:00:00"/>
    <d v="1975-08-21T00:00:00"/>
    <x v="0"/>
    <x v="0"/>
  </r>
  <r>
    <n v="40"/>
    <s v="Ivan Malaia"/>
    <x v="0"/>
    <x v="4"/>
    <x v="1"/>
    <n v="45700"/>
    <d v="2019-06-07T00:00:00"/>
    <d v="1985-04-14T00:00:00"/>
    <x v="4"/>
    <x v="1"/>
  </r>
  <r>
    <n v="41"/>
    <s v="Alfredo Gotine"/>
    <x v="0"/>
    <x v="1"/>
    <x v="1"/>
    <n v="40540"/>
    <d v="2019-02-28T00:00:00"/>
    <d v="1983-07-28T00:00:00"/>
    <x v="9"/>
    <x v="1"/>
  </r>
  <r>
    <n v="42"/>
    <s v="Samuel Nhatave"/>
    <x v="0"/>
    <x v="5"/>
    <x v="0"/>
    <n v="41575"/>
    <d v="2021-07-07T00:00:00"/>
    <d v="1980-05-15T00:00:00"/>
    <x v="8"/>
    <x v="3"/>
  </r>
  <r>
    <n v="43"/>
    <s v="Piderio Napoliao"/>
    <x v="0"/>
    <x v="5"/>
    <x v="1"/>
    <n v="12325"/>
    <d v="2019-06-06T00:00:00"/>
    <d v="1974-11-21T00:00:00"/>
    <x v="11"/>
    <x v="1"/>
  </r>
  <r>
    <n v="44"/>
    <s v="Emilia Dimande"/>
    <x v="1"/>
    <x v="7"/>
    <x v="1"/>
    <n v="15205"/>
    <d v="2020-10-13T00:00:00"/>
    <d v="1980-07-16T00:00:00"/>
    <x v="8"/>
    <x v="0"/>
  </r>
  <r>
    <n v="45"/>
    <s v="Faira Neve"/>
    <x v="1"/>
    <x v="7"/>
    <x v="1"/>
    <n v="35315"/>
    <d v="2020-07-24T00:00:00"/>
    <d v="1981-10-10T00:00:00"/>
    <x v="3"/>
    <x v="0"/>
  </r>
  <r>
    <n v="46"/>
    <s v="Arsénia Cumbe"/>
    <x v="1"/>
    <x v="7"/>
    <x v="0"/>
    <n v="37400"/>
    <d v="2020-02-08T00:00:00"/>
    <d v="1981-04-30T00:00:00"/>
    <x v="3"/>
    <x v="0"/>
  </r>
  <r>
    <n v="47"/>
    <s v="Yolanda Mathombe"/>
    <x v="1"/>
    <x v="7"/>
    <x v="1"/>
    <n v="20195"/>
    <d v="2022-05-22T00:00:00"/>
    <d v="1985-07-08T00:00:00"/>
    <x v="4"/>
    <x v="2"/>
  </r>
  <r>
    <n v="48"/>
    <s v="Cremilde Zandamela"/>
    <x v="1"/>
    <x v="7"/>
    <x v="2"/>
    <n v="35140"/>
    <d v="2021-12-22T00:00:00"/>
    <d v="1976-02-27T00:00:00"/>
    <x v="10"/>
    <x v="3"/>
  </r>
  <r>
    <n v="49"/>
    <s v="Simione Cuambe"/>
    <x v="0"/>
    <x v="7"/>
    <x v="3"/>
    <n v="10345"/>
    <d v="2022-07-06T00:00:00"/>
    <d v="1985-02-14T00:00:00"/>
    <x v="4"/>
    <x v="2"/>
  </r>
  <r>
    <n v="50"/>
    <s v="Samuel Bié"/>
    <x v="0"/>
    <x v="5"/>
    <x v="1"/>
    <n v="40465"/>
    <d v="2022-08-05T00:00:00"/>
    <d v="1982-12-16T00:00:00"/>
    <x v="7"/>
    <x v="2"/>
  </r>
  <r>
    <n v="51"/>
    <s v="Graça Nhachengo"/>
    <x v="1"/>
    <x v="1"/>
    <x v="1"/>
    <n v="19530"/>
    <d v="2022-07-31T00:00:00"/>
    <d v="1976-01-28T00:00:00"/>
    <x v="10"/>
    <x v="2"/>
  </r>
  <r>
    <n v="52"/>
    <s v="Elias Chavane"/>
    <x v="0"/>
    <x v="3"/>
    <x v="1"/>
    <n v="21235"/>
    <d v="2021-01-28T00:00:00"/>
    <d v="1977-06-15T00:00:00"/>
    <x v="5"/>
    <x v="3"/>
  </r>
  <r>
    <n v="53"/>
    <s v="Maura Massigue"/>
    <x v="1"/>
    <x v="3"/>
    <x v="1"/>
    <n v="29575"/>
    <d v="2022-03-08T00:00:00"/>
    <d v="1976-08-17T00:00:00"/>
    <x v="10"/>
    <x v="2"/>
  </r>
  <r>
    <n v="54"/>
    <s v="Juvenal Manhique"/>
    <x v="0"/>
    <x v="0"/>
    <x v="1"/>
    <n v="22055"/>
    <d v="2019-03-27T00:00:00"/>
    <d v="1980-01-20T00:00:00"/>
    <x v="8"/>
    <x v="1"/>
  </r>
  <r>
    <n v="55"/>
    <s v="Liliane Chambane"/>
    <x v="1"/>
    <x v="1"/>
    <x v="3"/>
    <n v="18940"/>
    <d v="2019-09-11T00:00:00"/>
    <d v="1980-06-22T00:00:00"/>
    <x v="8"/>
    <x v="1"/>
  </r>
  <r>
    <n v="56"/>
    <s v="Hélio Mungoi"/>
    <x v="0"/>
    <x v="1"/>
    <x v="1"/>
    <n v="18725"/>
    <d v="2022-09-04T00:00:00"/>
    <d v="1984-04-08T00:00:00"/>
    <x v="6"/>
    <x v="2"/>
  </r>
  <r>
    <n v="57"/>
    <s v="Elias Todo"/>
    <x v="0"/>
    <x v="7"/>
    <x v="0"/>
    <n v="31770"/>
    <d v="2020-02-10T00:00:00"/>
    <d v="1977-04-10T00:00:00"/>
    <x v="5"/>
    <x v="0"/>
  </r>
  <r>
    <n v="58"/>
    <s v="Delcia Palmira"/>
    <x v="1"/>
    <x v="7"/>
    <x v="1"/>
    <n v="22615"/>
    <d v="2020-12-07T00:00:00"/>
    <d v="1976-01-13T00:00:00"/>
    <x v="10"/>
    <x v="0"/>
  </r>
  <r>
    <n v="59"/>
    <s v="Bety Cuna"/>
    <x v="1"/>
    <x v="7"/>
    <x v="1"/>
    <n v="10680"/>
    <d v="2020-11-12T00:00:00"/>
    <d v="1977-05-06T00:00:00"/>
    <x v="5"/>
    <x v="0"/>
  </r>
  <r>
    <n v="60"/>
    <s v="Jacob Honwana"/>
    <x v="0"/>
    <x v="7"/>
    <x v="0"/>
    <n v="10875"/>
    <d v="2022-06-23T00:00:00"/>
    <d v="1983-04-19T00:00:00"/>
    <x v="9"/>
    <x v="2"/>
  </r>
  <r>
    <n v="61"/>
    <s v="Francisco Chongo"/>
    <x v="0"/>
    <x v="7"/>
    <x v="1"/>
    <n v="28865"/>
    <d v="2020-04-20T00:00:00"/>
    <d v="1983-01-31T00:00:00"/>
    <x v="9"/>
    <x v="0"/>
  </r>
  <r>
    <n v="62"/>
    <s v="Jércia Tembe"/>
    <x v="1"/>
    <x v="7"/>
    <x v="1"/>
    <n v="41005"/>
    <d v="2021-07-30T00:00:00"/>
    <d v="1984-10-04T00:00:00"/>
    <x v="6"/>
    <x v="3"/>
  </r>
  <r>
    <n v="63"/>
    <s v="Ayres Lichucha"/>
    <x v="0"/>
    <x v="1"/>
    <x v="1"/>
    <n v="15250"/>
    <d v="2022-03-30T00:00:00"/>
    <d v="1981-12-07T00:00:00"/>
    <x v="3"/>
    <x v="2"/>
  </r>
  <r>
    <n v="64"/>
    <s v="Neima Guiamba"/>
    <x v="1"/>
    <x v="0"/>
    <x v="0"/>
    <n v="18890"/>
    <d v="2019-07-22T00:00:00"/>
    <d v="1979-08-12T00:00:00"/>
    <x v="2"/>
    <x v="1"/>
  </r>
  <r>
    <n v="65"/>
    <s v="Jose zeca"/>
    <x v="0"/>
    <x v="0"/>
    <x v="1"/>
    <n v="11190"/>
    <d v="2019-11-05T00:00:00"/>
    <d v="1985-11-02T00:00:00"/>
    <x v="4"/>
    <x v="1"/>
  </r>
  <r>
    <n v="66"/>
    <s v="Carlitos Lopes"/>
    <x v="0"/>
    <x v="0"/>
    <x v="0"/>
    <n v="26525"/>
    <d v="2022-09-08T00:00:00"/>
    <d v="1981-03-01T00:00:00"/>
    <x v="3"/>
    <x v="2"/>
  </r>
  <r>
    <n v="67"/>
    <s v="Liedson Gove"/>
    <x v="0"/>
    <x v="1"/>
    <x v="1"/>
    <n v="12360"/>
    <d v="2019-02-13T00:00:00"/>
    <d v="1978-12-22T00:00:00"/>
    <x v="1"/>
    <x v="1"/>
  </r>
  <r>
    <n v="68"/>
    <s v="Débora Chivulele"/>
    <x v="1"/>
    <x v="6"/>
    <x v="2"/>
    <n v="28980"/>
    <d v="2019-02-08T00:00:00"/>
    <d v="1985-07-11T00:00:00"/>
    <x v="4"/>
    <x v="1"/>
  </r>
  <r>
    <n v="69"/>
    <s v="Micia Magenge"/>
    <x v="1"/>
    <x v="6"/>
    <x v="3"/>
    <n v="36030"/>
    <d v="2022-02-19T00:00:00"/>
    <d v="1982-07-17T00:00:00"/>
    <x v="7"/>
    <x v="2"/>
  </r>
  <r>
    <n v="70"/>
    <s v="Milton Cambula"/>
    <x v="0"/>
    <x v="6"/>
    <x v="1"/>
    <n v="30945"/>
    <d v="2020-01-30T00:00:00"/>
    <d v="1985-05-21T00:00:00"/>
    <x v="4"/>
    <x v="0"/>
  </r>
  <r>
    <n v="71"/>
    <s v="Rute Gove"/>
    <x v="1"/>
    <x v="6"/>
    <x v="1"/>
    <n v="27855"/>
    <d v="2022-07-17T00:00:00"/>
    <d v="1980-04-23T00:00:00"/>
    <x v="8"/>
    <x v="2"/>
  </r>
  <r>
    <n v="72"/>
    <s v="Helena Fulane"/>
    <x v="1"/>
    <x v="6"/>
    <x v="0"/>
    <n v="19720"/>
    <d v="2021-08-28T00:00:00"/>
    <d v="1975-11-13T00:00:00"/>
    <x v="0"/>
    <x v="3"/>
  </r>
  <r>
    <n v="73"/>
    <s v="Angela Jeco"/>
    <x v="1"/>
    <x v="6"/>
    <x v="1"/>
    <n v="26610"/>
    <d v="2020-08-25T00:00:00"/>
    <d v="1980-11-06T00:00:00"/>
    <x v="8"/>
    <x v="0"/>
  </r>
  <r>
    <n v="74"/>
    <s v="Mertchi Dique"/>
    <x v="1"/>
    <x v="6"/>
    <x v="2"/>
    <n v="30705"/>
    <d v="2022-11-10T00:00:00"/>
    <d v="1976-03-13T00:00:00"/>
    <x v="10"/>
    <x v="2"/>
  </r>
  <r>
    <n v="75"/>
    <s v="ElIsio Zia"/>
    <x v="0"/>
    <x v="5"/>
    <x v="3"/>
    <n v="32670"/>
    <d v="2021-11-03T00:00:00"/>
    <d v="1984-12-30T00:00:00"/>
    <x v="6"/>
    <x v="3"/>
  </r>
  <r>
    <n v="76"/>
    <s v="Julio Mutole"/>
    <x v="0"/>
    <x v="3"/>
    <x v="1"/>
    <n v="15590"/>
    <d v="2019-12-14T00:00:00"/>
    <d v="1976-05-07T00:00:00"/>
    <x v="10"/>
    <x v="1"/>
  </r>
  <r>
    <n v="77"/>
    <s v="Nelton Mussunda"/>
    <x v="0"/>
    <x v="3"/>
    <x v="1"/>
    <n v="10455"/>
    <d v="2022-11-01T00:00:00"/>
    <d v="1974-04-03T00:00:00"/>
    <x v="11"/>
    <x v="2"/>
  </r>
  <r>
    <n v="78"/>
    <s v="Alssen Roldao"/>
    <x v="0"/>
    <x v="4"/>
    <x v="1"/>
    <n v="16495"/>
    <d v="2022-08-12T00:00:00"/>
    <d v="1983-09-03T00:00:00"/>
    <x v="9"/>
    <x v="2"/>
  </r>
  <r>
    <n v="79"/>
    <s v="Shelsia Macuacua"/>
    <x v="1"/>
    <x v="1"/>
    <x v="1"/>
    <n v="47250"/>
    <d v="2021-03-11T00:00:00"/>
    <d v="1981-10-31T00:00:00"/>
    <x v="3"/>
    <x v="3"/>
  </r>
  <r>
    <n v="80"/>
    <s v="Isaque Araújo"/>
    <x v="0"/>
    <x v="5"/>
    <x v="3"/>
    <n v="25905"/>
    <d v="2021-04-06T00:00:00"/>
    <d v="1975-10-25T00:00:00"/>
    <x v="0"/>
    <x v="3"/>
  </r>
  <r>
    <n v="81"/>
    <s v="Luís Queco"/>
    <x v="0"/>
    <x v="3"/>
    <x v="1"/>
    <n v="28825"/>
    <d v="2022-02-27T00:00:00"/>
    <d v="1977-12-18T00:00:00"/>
    <x v="5"/>
    <x v="2"/>
  </r>
  <r>
    <n v="82"/>
    <s v="Evanilson Maibassi"/>
    <x v="0"/>
    <x v="3"/>
    <x v="0"/>
    <n v="27015"/>
    <d v="2021-03-06T00:00:00"/>
    <d v="1976-02-21T00:00:00"/>
    <x v="10"/>
    <x v="3"/>
  </r>
  <r>
    <n v="83"/>
    <s v="Estevão António"/>
    <x v="0"/>
    <x v="3"/>
    <x v="1"/>
    <n v="11635"/>
    <d v="2020-07-16T00:00:00"/>
    <d v="1980-04-03T00:00:00"/>
    <x v="8"/>
    <x v="0"/>
  </r>
  <r>
    <n v="84"/>
    <s v="Natacha Chilaule"/>
    <x v="1"/>
    <x v="6"/>
    <x v="1"/>
    <n v="49170"/>
    <d v="2020-05-27T00:00:00"/>
    <d v="1985-08-25T00:00:00"/>
    <x v="4"/>
    <x v="0"/>
  </r>
  <r>
    <n v="85"/>
    <s v="Écita Mahalambe"/>
    <x v="1"/>
    <x v="6"/>
    <x v="1"/>
    <n v="16620"/>
    <d v="2019-09-13T00:00:00"/>
    <d v="1976-01-17T00:00:00"/>
    <x v="10"/>
    <x v="1"/>
  </r>
  <r>
    <n v="86"/>
    <s v="Júlio Ngulela"/>
    <x v="0"/>
    <x v="6"/>
    <x v="3"/>
    <n v="20560"/>
    <d v="2020-03-19T00:00:00"/>
    <d v="1974-03-10T00:00:00"/>
    <x v="11"/>
    <x v="0"/>
  </r>
  <r>
    <n v="87"/>
    <s v="Márcia Maulene"/>
    <x v="1"/>
    <x v="6"/>
    <x v="1"/>
    <n v="40375"/>
    <d v="2022-02-19T00:00:00"/>
    <d v="1982-01-01T00:00:00"/>
    <x v="7"/>
    <x v="2"/>
  </r>
  <r>
    <n v="88"/>
    <s v="Abdul Mulau"/>
    <x v="0"/>
    <x v="6"/>
    <x v="0"/>
    <n v="25200"/>
    <d v="2019-06-04T00:00:00"/>
    <d v="1979-11-26T00:00:00"/>
    <x v="2"/>
    <x v="1"/>
  </r>
  <r>
    <n v="89"/>
    <s v="Neima Chiboleca"/>
    <x v="1"/>
    <x v="3"/>
    <x v="1"/>
    <n v="45105"/>
    <d v="2021-01-08T00:00:00"/>
    <d v="1983-09-16T00:00:00"/>
    <x v="9"/>
    <x v="3"/>
  </r>
  <r>
    <n v="90"/>
    <s v="Luisa Combane"/>
    <x v="1"/>
    <x v="3"/>
    <x v="1"/>
    <n v="41850"/>
    <d v="2022-09-17T00:00:00"/>
    <d v="1985-06-22T00:00:00"/>
    <x v="4"/>
    <x v="2"/>
  </r>
  <r>
    <n v="91"/>
    <s v="Érica Macucule"/>
    <x v="1"/>
    <x v="3"/>
    <x v="3"/>
    <n v="29880"/>
    <d v="2019-04-03T00:00:00"/>
    <d v="1974-08-11T00:00:00"/>
    <x v="11"/>
    <x v="1"/>
  </r>
  <r>
    <n v="92"/>
    <s v="Alfredo Machava"/>
    <x v="0"/>
    <x v="3"/>
    <x v="1"/>
    <n v="12235"/>
    <d v="2021-03-28T00:00:00"/>
    <d v="1981-07-16T00:00:00"/>
    <x v="3"/>
    <x v="3"/>
  </r>
  <r>
    <n v="93"/>
    <s v="Zecas Macandza"/>
    <x v="0"/>
    <x v="3"/>
    <x v="1"/>
    <n v="40795"/>
    <d v="2021-05-29T00:00:00"/>
    <d v="1985-12-19T00:00:00"/>
    <x v="4"/>
    <x v="3"/>
  </r>
  <r>
    <n v="94"/>
    <s v="Maria Tchemo"/>
    <x v="1"/>
    <x v="5"/>
    <x v="3"/>
    <n v="28895"/>
    <d v="2020-02-02T00:00:00"/>
    <d v="1980-06-07T00:00:00"/>
    <x v="8"/>
    <x v="0"/>
  </r>
  <r>
    <n v="95"/>
    <s v="Aristides chipanga"/>
    <x v="1"/>
    <x v="5"/>
    <x v="1"/>
    <n v="44045"/>
    <d v="2021-02-04T00:00:00"/>
    <d v="1982-03-16T00:00:00"/>
    <x v="7"/>
    <x v="3"/>
  </r>
  <r>
    <n v="96"/>
    <s v="Jelcia Cossa"/>
    <x v="1"/>
    <x v="5"/>
    <x v="1"/>
    <n v="20655"/>
    <d v="2020-11-24T00:00:00"/>
    <d v="1983-05-16T00:00:00"/>
    <x v="9"/>
    <x v="0"/>
  </r>
  <r>
    <n v="97"/>
    <s v="Dionisio Mucale"/>
    <x v="0"/>
    <x v="5"/>
    <x v="1"/>
    <n v="23000"/>
    <d v="2019-02-10T00:00:00"/>
    <d v="1979-01-13T00:00:00"/>
    <x v="2"/>
    <x v="1"/>
  </r>
  <r>
    <n v="98"/>
    <s v="Alexandre Wate"/>
    <x v="0"/>
    <x v="1"/>
    <x v="3"/>
    <n v="26085"/>
    <d v="2021-05-17T00:00:00"/>
    <d v="1985-07-24T00:00:00"/>
    <x v="4"/>
    <x v="3"/>
  </r>
  <r>
    <n v="99"/>
    <s v="Bernardo Chovo"/>
    <x v="0"/>
    <x v="3"/>
    <x v="1"/>
    <n v="24720"/>
    <d v="2020-09-27T00:00:00"/>
    <d v="1984-11-28T00:00:00"/>
    <x v="6"/>
    <x v="0"/>
  </r>
  <r>
    <n v="100"/>
    <s v="Lucília Sérgio "/>
    <x v="1"/>
    <x v="3"/>
    <x v="3"/>
    <n v="17285"/>
    <d v="2019-11-26T00:00:00"/>
    <d v="1978-10-16T00:00:0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DC3F0-927C-4A06-BAC1-CF66C9AF35C5}" name="FUNCIONÁRIO X TEMPO NA EMPRESA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2" rowHeaderCaption="ARÉA">
  <location ref="K9:L12" firstHeaderRow="1" firstDataRow="1" firstDataCol="1"/>
  <pivotFields count="10">
    <pivotField showAll="0"/>
    <pivotField showAll="0"/>
    <pivotField showAll="0">
      <items count="3">
        <item x="1"/>
        <item h="1" x="0"/>
        <item t="default"/>
      </items>
    </pivotField>
    <pivotField dataField="1" showAll="0">
      <items count="9">
        <item h="1" x="5"/>
        <item h="1" x="4"/>
        <item h="1" x="7"/>
        <item h="1" x="3"/>
        <item h="1" x="6"/>
        <item x="1"/>
        <item h="1" x="0"/>
        <item h="1" x="2"/>
        <item t="default"/>
      </items>
    </pivotField>
    <pivotField showAll="0"/>
    <pivotField numFmtId="164" showAll="0"/>
    <pivotField numFmtId="14" showAll="0"/>
    <pivotField numFmtId="14"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3">
    <i>
      <x v="1"/>
    </i>
    <i>
      <x v="2"/>
    </i>
    <i t="grand">
      <x/>
    </i>
  </rowItems>
  <colItems count="1">
    <i/>
  </colItems>
  <dataFields count="1">
    <dataField name="Contagem de Área" fld="3" subtotal="count" baseField="0" baseItem="0"/>
  </dataFields>
  <chartFormats count="1">
    <chartFormat chart="3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86579E-521B-4D8B-818A-C10C4354E658}" name="SALÁRIO X CARGO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CARGO">
  <location ref="H11:I15" firstHeaderRow="1" firstDataRow="1" firstDataCol="1"/>
  <pivotFields count="10">
    <pivotField showAll="0"/>
    <pivotField showAll="0"/>
    <pivotField showAll="0">
      <items count="3">
        <item x="1"/>
        <item h="1" x="0"/>
        <item t="default"/>
      </items>
    </pivotField>
    <pivotField showAll="0">
      <items count="9">
        <item h="1" x="5"/>
        <item h="1" x="4"/>
        <item h="1" x="7"/>
        <item h="1" x="3"/>
        <item h="1" x="6"/>
        <item x="1"/>
        <item h="1" x="0"/>
        <item h="1" x="2"/>
        <item t="default"/>
      </items>
    </pivotField>
    <pivotField axis="axisRow" showAll="0">
      <items count="6">
        <item x="1"/>
        <item x="4"/>
        <item x="2"/>
        <item x="3"/>
        <item x="0"/>
        <item t="default"/>
      </items>
    </pivotField>
    <pivotField dataField="1" numFmtId="164" showAll="0"/>
    <pivotField numFmtId="14" showAll="0"/>
    <pivotField numFmtId="14" showAll="0"/>
    <pivotField showAll="0"/>
    <pivotField showAll="0"/>
  </pivotFields>
  <rowFields count="1">
    <field x="4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Soma de Salário" fld="5" baseField="0" baseItem="0" numFmtId="165"/>
  </dataFields>
  <formats count="3">
    <format dxfId="58">
      <pivotArea collapsedLevelsAreSubtotals="1" fieldPosition="0">
        <references count="1">
          <reference field="4" count="1">
            <x v="2"/>
          </reference>
        </references>
      </pivotArea>
    </format>
    <format dxfId="57">
      <pivotArea outline="0" collapsedLevelsAreSubtotals="1" fieldPosition="0"/>
    </format>
    <format dxfId="56">
      <pivotArea dataOnly="0" labelOnly="1" outline="0" axis="axisValues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63213-3A65-4897-BBA6-216DB144B9D4}" name="FUNCIONÁRIO X IDADE" cacheId="2" applyNumberFormats="0" applyBorderFormats="0" applyFontFormats="0" applyPatternFormats="0" applyAlignmentFormats="0" applyWidthHeightFormats="1" dataCaption="Valores" updatedVersion="8" minRefreshableVersion="3" useAutoFormatting="1" pageWrap="1" itemPrintTitles="1" createdVersion="8" indent="0" outline="1" outlineData="1" multipleFieldFilters="0" chartFormat="32" rowHeaderCaption="IDADE">
  <location ref="K2:L6" firstHeaderRow="1" firstDataRow="1" firstDataCol="1"/>
  <pivotFields count="10">
    <pivotField showAll="0"/>
    <pivotField showAll="0"/>
    <pivotField showAll="0">
      <items count="3">
        <item x="1"/>
        <item h="1" x="0"/>
        <item t="default"/>
      </items>
    </pivotField>
    <pivotField showAll="0">
      <items count="9">
        <item h="1" x="5"/>
        <item h="1" x="4"/>
        <item h="1" x="7"/>
        <item h="1" x="3"/>
        <item h="1" x="6"/>
        <item x="1"/>
        <item h="1" x="0"/>
        <item h="1" x="2"/>
        <item t="default"/>
      </items>
    </pivotField>
    <pivotField showAll="0"/>
    <pivotField numFmtId="164" showAll="0"/>
    <pivotField numFmtId="14" showAll="0"/>
    <pivotField numFmtId="14" showAll="0"/>
    <pivotField axis="axisRow" dataField="1" showAll="0" sortType="ascending">
      <items count="7">
        <item x="0"/>
        <item x="5"/>
        <item x="1"/>
        <item x="2"/>
        <item x="3"/>
        <item x="4"/>
        <item t="default"/>
      </items>
    </pivotField>
    <pivotField showAll="0"/>
  </pivotFields>
  <rowFields count="1">
    <field x="8"/>
  </rowFields>
  <rowItems count="4">
    <i>
      <x v="3"/>
    </i>
    <i>
      <x v="4"/>
    </i>
    <i>
      <x v="5"/>
    </i>
    <i t="grand">
      <x/>
    </i>
  </rowItems>
  <colItems count="1">
    <i/>
  </colItems>
  <dataFields count="1">
    <dataField name="Contagem de Idade" fld="8" subtotal="count" baseField="0" baseItem="0"/>
  </dataFields>
  <chartFormats count="1">
    <chartFormat chart="3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71151-837D-4861-84CA-7A2740459F5A}" name="FUNCIONÁRIO X ARÉA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 rowHeaderCaption="ARÉA">
  <location ref="E2:F4" firstHeaderRow="1" firstDataRow="1" firstDataCol="1"/>
  <pivotFields count="10">
    <pivotField showAll="0"/>
    <pivotField showAll="0"/>
    <pivotField showAll="0">
      <items count="3">
        <item x="1"/>
        <item h="1" x="0"/>
        <item t="default"/>
      </items>
    </pivotField>
    <pivotField axis="axisRow" showAll="0" sortType="ascending">
      <items count="9">
        <item h="1" x="5"/>
        <item h="1" x="4"/>
        <item h="1" x="7"/>
        <item h="1" x="3"/>
        <item h="1" x="6"/>
        <item x="1"/>
        <item h="1" x="0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numFmtId="14" showAll="0"/>
    <pivotField numFmtId="14" showAll="0"/>
    <pivotField showAll="0"/>
    <pivotField showAll="0"/>
  </pivotFields>
  <rowFields count="1">
    <field x="3"/>
  </rowFields>
  <rowItems count="2">
    <i>
      <x v="5"/>
    </i>
    <i t="grand">
      <x/>
    </i>
  </rowItems>
  <colItems count="1">
    <i/>
  </colItems>
  <dataFields count="1">
    <dataField name="FUNCIONÁRIO" fld="5" subtotal="count" baseField="3" baseItem="7"/>
  </dataFields>
  <chartFormats count="1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8A48A-6C4E-433F-A915-2567195BAED8}" name="FUNCIONÁRIOS X CARGO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CARGO">
  <location ref="H2:I6" firstHeaderRow="1" firstDataRow="1" firstDataCol="1"/>
  <pivotFields count="10">
    <pivotField showAll="0"/>
    <pivotField showAll="0"/>
    <pivotField showAll="0">
      <items count="3">
        <item x="1"/>
        <item h="1" x="0"/>
        <item t="default"/>
      </items>
    </pivotField>
    <pivotField showAll="0">
      <items count="9">
        <item h="1" x="5"/>
        <item h="1" x="4"/>
        <item h="1" x="7"/>
        <item h="1" x="3"/>
        <item h="1" x="6"/>
        <item x="1"/>
        <item h="1" x="0"/>
        <item h="1" x="2"/>
        <item t="default"/>
      </items>
    </pivotField>
    <pivotField axis="axisRow" showAll="0">
      <items count="6">
        <item x="1"/>
        <item x="4"/>
        <item x="2"/>
        <item x="3"/>
        <item x="0"/>
        <item t="default"/>
      </items>
    </pivotField>
    <pivotField dataField="1" numFmtId="164" showAll="0"/>
    <pivotField numFmtId="14" showAll="0"/>
    <pivotField numFmtId="14" showAll="0"/>
    <pivotField showAll="0"/>
    <pivotField showAll="0"/>
  </pivotFields>
  <rowFields count="1">
    <field x="4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FUNCIONÁRIO" fld="5" subtotal="count" baseField="4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7CD70D-1453-43D6-9FA7-D64481C136E3}" name="FUNCIONÁRIO X GENÉRO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 rowHeaderCaption="GENERO">
  <location ref="K16:L18" firstHeaderRow="1" firstDataRow="1" firstDataCol="1"/>
  <pivotFields count="10">
    <pivotField showAll="0"/>
    <pivotField showAll="0"/>
    <pivotField axis="axisRow" showAll="0">
      <items count="3">
        <item x="1"/>
        <item h="1" x="0"/>
        <item t="default"/>
      </items>
    </pivotField>
    <pivotField showAll="0">
      <items count="9">
        <item h="1" x="5"/>
        <item h="1" x="4"/>
        <item h="1" x="7"/>
        <item h="1" x="3"/>
        <item h="1" x="6"/>
        <item x="1"/>
        <item h="1" x="0"/>
        <item h="1" x="2"/>
        <item t="default"/>
      </items>
    </pivotField>
    <pivotField showAll="0"/>
    <pivotField dataField="1" numFmtId="164" showAll="0"/>
    <pivotField numFmtId="14" showAll="0"/>
    <pivotField numFmtId="14" showAll="0"/>
    <pivotField showAll="0"/>
    <pivotField showAll="0"/>
  </pivotFields>
  <rowFields count="1">
    <field x="2"/>
  </rowFields>
  <rowItems count="2">
    <i>
      <x/>
    </i>
    <i t="grand">
      <x/>
    </i>
  </rowItems>
  <colItems count="1">
    <i/>
  </colItems>
  <dataFields count="1">
    <dataField name="Contagem de Genero" fld="5" subtotal="count" baseField="2" baseItem="1"/>
  </dataFields>
  <formats count="2">
    <format dxfId="60">
      <pivotArea dataOnly="0" labelOnly="1" outline="0" axis="axisValues" fieldPosition="0"/>
    </format>
    <format dxfId="59">
      <pivotArea outline="0" collapsedLevelsAreSubtotals="1" fieldPosition="0"/>
    </format>
  </formats>
  <chartFormats count="3">
    <chartFormat chart="1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6DAA3-D292-4275-AA95-BD4AB44874FB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 rowHeaderCaption="GENERO">
  <location ref="K23:L25" firstHeaderRow="1" firstDataRow="1" firstDataCol="1"/>
  <pivotFields count="10">
    <pivotField showAll="0"/>
    <pivotField showAll="0"/>
    <pivotField axis="axisRow" showAll="0">
      <items count="3">
        <item x="1"/>
        <item h="1" x="0"/>
        <item t="default"/>
      </items>
    </pivotField>
    <pivotField showAll="0">
      <items count="9">
        <item h="1" x="5"/>
        <item h="1" x="4"/>
        <item h="1" x="7"/>
        <item h="1" x="3"/>
        <item h="1" x="6"/>
        <item x="1"/>
        <item h="1" x="0"/>
        <item h="1" x="2"/>
        <item t="default"/>
      </items>
    </pivotField>
    <pivotField showAll="0"/>
    <pivotField dataField="1" numFmtId="164" showAll="0"/>
    <pivotField numFmtId="14" showAll="0"/>
    <pivotField numFmtId="14" showAll="0"/>
    <pivotField showAll="0"/>
    <pivotField showAll="0"/>
  </pivotFields>
  <rowFields count="1">
    <field x="2"/>
  </rowFields>
  <rowItems count="2">
    <i>
      <x/>
    </i>
    <i t="grand">
      <x/>
    </i>
  </rowItems>
  <colItems count="1">
    <i/>
  </colItems>
  <dataFields count="1">
    <dataField name="Soma de Genero" fld="5" baseField="2" baseItem="1" numFmtId="165"/>
  </dataFields>
  <formats count="2">
    <format dxfId="62">
      <pivotArea dataOnly="0" labelOnly="1" outline="0" axis="axisValues" fieldPosition="0"/>
    </format>
    <format dxfId="61">
      <pivotArea outline="0" collapsedLevelsAreSubtotals="1" fieldPosition="0"/>
    </format>
  </formats>
  <chartFormats count="3">
    <chartFormat chart="1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Área" xr10:uid="{439AE31E-C4FE-440C-856A-5F005CF42A13}" sourceName="Área">
  <pivotTables>
    <pivotTable tabId="2" name="SALÁRIO X CARGO"/>
    <pivotTable tabId="2" name="FUNCIONÁRIO X ARÉA"/>
    <pivotTable tabId="2" name="FUNCIONÁRIOS X CARGO"/>
    <pivotTable tabId="2" name="FUNCIONÁRIO X IDADE"/>
    <pivotTable tabId="2" name="FUNCIONÁRIO X TEMPO NA EMPRESA"/>
    <pivotTable tabId="2" name="FUNCIONÁRIO X GENÉRO"/>
    <pivotTable tabId="2" name="Tabela Dinâmica2"/>
  </pivotTables>
  <data>
    <tabular pivotCacheId="359307409">
      <items count="8">
        <i x="5"/>
        <i x="7"/>
        <i x="3"/>
        <i x="6"/>
        <i x="1" s="1"/>
        <i x="0"/>
        <i x="4" nd="1"/>
        <i x="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énero" xr10:uid="{F549B65B-7F9D-46D2-9B5C-14BB68445371}" sourceName="Género">
  <pivotTables>
    <pivotTable tabId="2" name="SALÁRIO X CARGO"/>
    <pivotTable tabId="2" name="FUNCIONÁRIO X ARÉA"/>
    <pivotTable tabId="2" name="FUNCIONÁRIOS X CARGO"/>
    <pivotTable tabId="2" name="FUNCIONÁRIO X IDADE"/>
    <pivotTable tabId="2" name="FUNCIONÁRIO X TEMPO NA EMPRESA"/>
    <pivotTable tabId="2" name="FUNCIONÁRIO X GENÉRO"/>
    <pivotTable tabId="2" name="Tabela Dinâmica2"/>
  </pivotTables>
  <data>
    <tabular pivotCacheId="359307409">
      <items count="2">
        <i x="1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Área" xr10:uid="{0EEEB9B4-5B01-48F0-B321-6093591ADEE4}" cache="SegmentaçãoDeDados_Área" caption="Área" columnCount="4" rowHeight="241300"/>
  <slicer name="Género" xr10:uid="{9614997B-8C5E-443E-90CE-579C23EBE225}" cache="SegmentaçãoDeDados_Género" caption="Géner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C4A5B3-BF54-463B-9364-691525C1F521}" name="Base" displayName="Base" ref="A1:J101" totalsRowShown="0">
  <autoFilter ref="A1:J101" xr:uid="{A1C4A5B3-BF54-463B-9364-691525C1F521}"/>
  <tableColumns count="10">
    <tableColumn id="1" xr3:uid="{8341B3D5-09A5-435C-BD1A-3920F5FD4660}" name="Código funcionário"/>
    <tableColumn id="2" xr3:uid="{FF3B3E80-E22F-4CA2-826F-BCF2F638332D}" name="Nome Completo"/>
    <tableColumn id="3" xr3:uid="{9A9D6202-24FD-401F-8E9E-0DD375F35252}" name="Género"/>
    <tableColumn id="4" xr3:uid="{8890497C-152C-4497-8DD7-D0C78B0653FE}" name="Área"/>
    <tableColumn id="5" xr3:uid="{24EA1827-5EEE-41A9-B5F8-E340FD40BAA4}" name="Cargo"/>
    <tableColumn id="6" xr3:uid="{260C272C-B34F-46E9-BBE5-83AF9CB4EADB}" name="Salário" dataDxfId="67" dataCellStyle="Vírgula"/>
    <tableColumn id="7" xr3:uid="{E14A0C60-01BF-4417-B723-57E2C5A0C733}" name="Data de entrada" dataDxfId="66"/>
    <tableColumn id="8" xr3:uid="{362A2498-F94F-4EED-95E5-AAF3FAECCDE0}" name="Data de nascimento" dataDxfId="65"/>
    <tableColumn id="9" xr3:uid="{AE916294-51A6-46DB-93A9-1549D7217356}" name="Idade" dataDxfId="64">
      <calculatedColumnFormula>YEAR(TODAY())-YEAR(Base[[#This Row],[Data de nascimento]])</calculatedColumnFormula>
    </tableColumn>
    <tableColumn id="10" xr3:uid="{12F66080-53CA-4B6D-8991-BA2841720FDF}" name="Tempo na Empresa" dataDxfId="63">
      <calculatedColumnFormula>YEAR(TODAY())-YEAR(Base[[#This Row],[Data de entrada]])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BCI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36E21"/>
      </a:accent1>
      <a:accent2>
        <a:srgbClr val="E8E8E8"/>
      </a:accent2>
      <a:accent3>
        <a:srgbClr val="813E12"/>
      </a:accent3>
      <a:accent4>
        <a:srgbClr val="FFFFFF"/>
      </a:accent4>
      <a:accent5>
        <a:srgbClr val="A5A5A5"/>
      </a:accent5>
      <a:accent6>
        <a:srgbClr val="C55A11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Inuka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AB8647"/>
    </a:accent1>
    <a:accent2>
      <a:srgbClr val="6A522C"/>
    </a:accent2>
    <a:accent3>
      <a:srgbClr val="D1B88F"/>
    </a:accent3>
    <a:accent4>
      <a:srgbClr val="000000"/>
    </a:accent4>
    <a:accent5>
      <a:srgbClr val="FFFFFF"/>
    </a:accent5>
    <a:accent6>
      <a:srgbClr val="595959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BCI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F36E21"/>
    </a:accent1>
    <a:accent2>
      <a:srgbClr val="E8E8E8"/>
    </a:accent2>
    <a:accent3>
      <a:srgbClr val="813E12"/>
    </a:accent3>
    <a:accent4>
      <a:srgbClr val="FFFFFF"/>
    </a:accent4>
    <a:accent5>
      <a:srgbClr val="A5A5A5"/>
    </a:accent5>
    <a:accent6>
      <a:srgbClr val="C55A11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C84E-E095-408E-8AD5-F405241B3FE7}">
  <sheetPr codeName="Folha1"/>
  <dimension ref="A1:K101"/>
  <sheetViews>
    <sheetView zoomScale="85" zoomScaleNormal="85" workbookViewId="0">
      <selection activeCell="E9" sqref="E9"/>
    </sheetView>
  </sheetViews>
  <sheetFormatPr defaultRowHeight="15" x14ac:dyDescent="0.25"/>
  <cols>
    <col min="1" max="1" width="19.85546875" customWidth="1"/>
    <col min="2" max="2" width="18.140625" bestFit="1" customWidth="1"/>
    <col min="3" max="3" width="9.85546875" customWidth="1"/>
    <col min="4" max="4" width="9.42578125" bestFit="1" customWidth="1"/>
    <col min="5" max="5" width="11.85546875" bestFit="1" customWidth="1"/>
    <col min="6" max="6" width="10.5703125" style="3" bestFit="1" customWidth="1"/>
    <col min="7" max="7" width="17.140625" customWidth="1"/>
    <col min="8" max="8" width="20.5703125" style="2" customWidth="1"/>
    <col min="9" max="9" width="9.7109375" bestFit="1" customWidth="1"/>
    <col min="10" max="10" width="20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s="2" t="s">
        <v>7</v>
      </c>
      <c r="I1" t="s">
        <v>146</v>
      </c>
      <c r="J1" t="s">
        <v>149</v>
      </c>
    </row>
    <row r="2" spans="1:11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s="3">
        <v>43215</v>
      </c>
      <c r="G2" s="2">
        <v>43875</v>
      </c>
      <c r="H2" s="2">
        <v>27657</v>
      </c>
      <c r="I2">
        <f ca="1">YEAR(TODAY())-YEAR(Base[[#This Row],[Data de nascimento]])</f>
        <v>50</v>
      </c>
      <c r="J2">
        <f ca="1">YEAR(TODAY())-YEAR(Base[[#This Row],[Data de entrada]])</f>
        <v>5</v>
      </c>
      <c r="K2" s="2"/>
    </row>
    <row r="3" spans="1:11" x14ac:dyDescent="0.25">
      <c r="A3">
        <v>2</v>
      </c>
      <c r="B3" t="s">
        <v>12</v>
      </c>
      <c r="C3" t="s">
        <v>13</v>
      </c>
      <c r="D3" t="s">
        <v>10</v>
      </c>
      <c r="E3" t="s">
        <v>14</v>
      </c>
      <c r="F3" s="3">
        <v>31075</v>
      </c>
      <c r="G3" s="2">
        <v>43487</v>
      </c>
      <c r="H3" s="2">
        <v>28634</v>
      </c>
      <c r="I3">
        <f ca="1">YEAR(TODAY())-YEAR(Base[[#This Row],[Data de nascimento]])</f>
        <v>47</v>
      </c>
      <c r="J3">
        <f ca="1">YEAR(TODAY())-YEAR(Base[[#This Row],[Data de entrada]])</f>
        <v>6</v>
      </c>
    </row>
    <row r="4" spans="1:11" x14ac:dyDescent="0.25">
      <c r="A4">
        <v>3</v>
      </c>
      <c r="B4" t="s">
        <v>15</v>
      </c>
      <c r="C4" t="s">
        <v>9</v>
      </c>
      <c r="D4" t="s">
        <v>10</v>
      </c>
      <c r="E4" t="s">
        <v>14</v>
      </c>
      <c r="F4" s="3">
        <v>22180</v>
      </c>
      <c r="G4" s="2">
        <v>44709</v>
      </c>
      <c r="H4" s="2">
        <v>28981</v>
      </c>
      <c r="I4">
        <f ca="1">YEAR(TODAY())-YEAR(Base[[#This Row],[Data de nascimento]])</f>
        <v>46</v>
      </c>
      <c r="J4">
        <f ca="1">YEAR(TODAY())-YEAR(Base[[#This Row],[Data de entrada]])</f>
        <v>3</v>
      </c>
    </row>
    <row r="5" spans="1:11" x14ac:dyDescent="0.25">
      <c r="A5">
        <v>4</v>
      </c>
      <c r="B5" t="s">
        <v>16</v>
      </c>
      <c r="C5" t="s">
        <v>9</v>
      </c>
      <c r="D5" t="s">
        <v>17</v>
      </c>
      <c r="E5" t="s">
        <v>11</v>
      </c>
      <c r="F5" s="3">
        <v>33110</v>
      </c>
      <c r="G5" s="2">
        <v>44669</v>
      </c>
      <c r="H5" s="2">
        <v>29664</v>
      </c>
      <c r="I5">
        <f ca="1">YEAR(TODAY())-YEAR(Base[[#This Row],[Data de nascimento]])</f>
        <v>44</v>
      </c>
      <c r="J5">
        <f ca="1">YEAR(TODAY())-YEAR(Base[[#This Row],[Data de entrada]])</f>
        <v>3</v>
      </c>
    </row>
    <row r="6" spans="1:11" x14ac:dyDescent="0.25">
      <c r="A6">
        <v>5</v>
      </c>
      <c r="B6" t="s">
        <v>18</v>
      </c>
      <c r="C6" t="s">
        <v>9</v>
      </c>
      <c r="D6" t="s">
        <v>17</v>
      </c>
      <c r="E6" t="s">
        <v>14</v>
      </c>
      <c r="F6" s="3">
        <v>13765</v>
      </c>
      <c r="G6" s="2">
        <v>44446</v>
      </c>
      <c r="H6" s="2">
        <v>31279</v>
      </c>
      <c r="I6">
        <f ca="1">YEAR(TODAY())-YEAR(Base[[#This Row],[Data de nascimento]])</f>
        <v>40</v>
      </c>
      <c r="J6">
        <f ca="1">YEAR(TODAY())-YEAR(Base[[#This Row],[Data de entrada]])</f>
        <v>4</v>
      </c>
    </row>
    <row r="7" spans="1:11" x14ac:dyDescent="0.25">
      <c r="A7">
        <v>6</v>
      </c>
      <c r="B7" t="s">
        <v>19</v>
      </c>
      <c r="C7" t="s">
        <v>9</v>
      </c>
      <c r="D7" t="s">
        <v>17</v>
      </c>
      <c r="E7" t="s">
        <v>14</v>
      </c>
      <c r="F7" s="3">
        <v>32485</v>
      </c>
      <c r="G7" s="2">
        <v>44035</v>
      </c>
      <c r="H7" s="2">
        <v>29776</v>
      </c>
      <c r="I7">
        <f ca="1">YEAR(TODAY())-YEAR(Base[[#This Row],[Data de nascimento]])</f>
        <v>44</v>
      </c>
      <c r="J7">
        <f ca="1">YEAR(TODAY())-YEAR(Base[[#This Row],[Data de entrada]])</f>
        <v>5</v>
      </c>
    </row>
    <row r="8" spans="1:11" x14ac:dyDescent="0.25">
      <c r="A8">
        <v>7</v>
      </c>
      <c r="B8" t="s">
        <v>20</v>
      </c>
      <c r="C8" t="s">
        <v>9</v>
      </c>
      <c r="D8" t="s">
        <v>21</v>
      </c>
      <c r="E8" t="s">
        <v>14</v>
      </c>
      <c r="F8" s="3">
        <v>45925</v>
      </c>
      <c r="G8" s="2">
        <v>43869</v>
      </c>
      <c r="H8" s="2">
        <v>28859</v>
      </c>
      <c r="I8">
        <f ca="1">YEAR(TODAY())-YEAR(Base[[#This Row],[Data de nascimento]])</f>
        <v>46</v>
      </c>
      <c r="J8">
        <f ca="1">YEAR(TODAY())-YEAR(Base[[#This Row],[Data de entrada]])</f>
        <v>5</v>
      </c>
    </row>
    <row r="9" spans="1:11" x14ac:dyDescent="0.25">
      <c r="A9">
        <v>8</v>
      </c>
      <c r="B9" t="s">
        <v>22</v>
      </c>
      <c r="C9" t="s">
        <v>9</v>
      </c>
      <c r="D9" t="s">
        <v>23</v>
      </c>
      <c r="E9" t="s">
        <v>11</v>
      </c>
      <c r="F9" s="3">
        <v>38800</v>
      </c>
      <c r="G9" s="2">
        <v>43687</v>
      </c>
      <c r="H9" s="2">
        <v>28763</v>
      </c>
      <c r="I9">
        <f ca="1">YEAR(TODAY())-YEAR(Base[[#This Row],[Data de nascimento]])</f>
        <v>47</v>
      </c>
      <c r="J9">
        <f ca="1">YEAR(TODAY())-YEAR(Base[[#This Row],[Data de entrada]])</f>
        <v>6</v>
      </c>
    </row>
    <row r="10" spans="1:11" x14ac:dyDescent="0.25">
      <c r="A10">
        <v>9</v>
      </c>
      <c r="B10" t="s">
        <v>24</v>
      </c>
      <c r="C10" t="s">
        <v>9</v>
      </c>
      <c r="D10" t="s">
        <v>25</v>
      </c>
      <c r="E10" t="s">
        <v>14</v>
      </c>
      <c r="F10" s="3">
        <v>30080</v>
      </c>
      <c r="G10" s="2">
        <v>43659</v>
      </c>
      <c r="H10" s="2">
        <v>28227</v>
      </c>
      <c r="I10">
        <f ca="1">YEAR(TODAY())-YEAR(Base[[#This Row],[Data de nascimento]])</f>
        <v>48</v>
      </c>
      <c r="J10">
        <f ca="1">YEAR(TODAY())-YEAR(Base[[#This Row],[Data de entrada]])</f>
        <v>6</v>
      </c>
    </row>
    <row r="11" spans="1:11" x14ac:dyDescent="0.25">
      <c r="A11">
        <v>10</v>
      </c>
      <c r="B11" t="s">
        <v>26</v>
      </c>
      <c r="C11" t="s">
        <v>13</v>
      </c>
      <c r="D11" t="s">
        <v>17</v>
      </c>
      <c r="E11" t="s">
        <v>27</v>
      </c>
      <c r="F11" s="3">
        <v>47785</v>
      </c>
      <c r="G11" s="2">
        <v>43842</v>
      </c>
      <c r="H11" s="2">
        <v>30996</v>
      </c>
      <c r="I11">
        <f ca="1">YEAR(TODAY())-YEAR(Base[[#This Row],[Data de nascimento]])</f>
        <v>41</v>
      </c>
      <c r="J11">
        <f ca="1">YEAR(TODAY())-YEAR(Base[[#This Row],[Data de entrada]])</f>
        <v>5</v>
      </c>
    </row>
    <row r="12" spans="1:11" x14ac:dyDescent="0.25">
      <c r="A12">
        <v>11</v>
      </c>
      <c r="B12" t="s">
        <v>28</v>
      </c>
      <c r="C12" t="s">
        <v>9</v>
      </c>
      <c r="D12" t="s">
        <v>29</v>
      </c>
      <c r="E12" t="s">
        <v>30</v>
      </c>
      <c r="F12" s="3">
        <v>20565</v>
      </c>
      <c r="G12" s="2">
        <v>44187</v>
      </c>
      <c r="H12" s="2">
        <v>29768</v>
      </c>
      <c r="I12">
        <f ca="1">YEAR(TODAY())-YEAR(Base[[#This Row],[Data de nascimento]])</f>
        <v>44</v>
      </c>
      <c r="J12">
        <f ca="1">YEAR(TODAY())-YEAR(Base[[#This Row],[Data de entrada]])</f>
        <v>5</v>
      </c>
    </row>
    <row r="13" spans="1:11" x14ac:dyDescent="0.25">
      <c r="A13">
        <v>12</v>
      </c>
      <c r="B13" t="s">
        <v>32</v>
      </c>
      <c r="C13" t="s">
        <v>9</v>
      </c>
      <c r="D13" t="s">
        <v>33</v>
      </c>
      <c r="E13" t="s">
        <v>11</v>
      </c>
      <c r="F13" s="3">
        <v>48055</v>
      </c>
      <c r="G13" s="2">
        <v>43866</v>
      </c>
      <c r="H13" s="2">
        <v>28425</v>
      </c>
      <c r="I13">
        <f ca="1">YEAR(TODAY())-YEAR(Base[[#This Row],[Data de nascimento]])</f>
        <v>48</v>
      </c>
      <c r="J13">
        <f ca="1">YEAR(TODAY())-YEAR(Base[[#This Row],[Data de entrada]])</f>
        <v>5</v>
      </c>
    </row>
    <row r="14" spans="1:11" x14ac:dyDescent="0.25">
      <c r="A14">
        <v>13</v>
      </c>
      <c r="B14" t="s">
        <v>34</v>
      </c>
      <c r="C14" t="s">
        <v>13</v>
      </c>
      <c r="D14" t="s">
        <v>23</v>
      </c>
      <c r="E14" t="s">
        <v>35</v>
      </c>
      <c r="F14" s="3">
        <v>13090</v>
      </c>
      <c r="G14" s="2">
        <v>44790</v>
      </c>
      <c r="H14" s="2">
        <v>29797</v>
      </c>
      <c r="I14">
        <f ca="1">YEAR(TODAY())-YEAR(Base[[#This Row],[Data de nascimento]])</f>
        <v>44</v>
      </c>
      <c r="J14">
        <f ca="1">YEAR(TODAY())-YEAR(Base[[#This Row],[Data de entrada]])</f>
        <v>3</v>
      </c>
    </row>
    <row r="15" spans="1:11" x14ac:dyDescent="0.25">
      <c r="A15">
        <v>14</v>
      </c>
      <c r="B15" t="s">
        <v>36</v>
      </c>
      <c r="C15" t="s">
        <v>13</v>
      </c>
      <c r="D15" t="s">
        <v>23</v>
      </c>
      <c r="E15" t="s">
        <v>35</v>
      </c>
      <c r="F15" s="3">
        <v>39320</v>
      </c>
      <c r="G15" s="2">
        <v>44244</v>
      </c>
      <c r="H15" s="2">
        <v>29589</v>
      </c>
      <c r="I15">
        <f ca="1">YEAR(TODAY())-YEAR(Base[[#This Row],[Data de nascimento]])</f>
        <v>44</v>
      </c>
      <c r="J15">
        <f ca="1">YEAR(TODAY())-YEAR(Base[[#This Row],[Data de entrada]])</f>
        <v>4</v>
      </c>
    </row>
    <row r="16" spans="1:11" x14ac:dyDescent="0.25">
      <c r="A16">
        <v>15</v>
      </c>
      <c r="B16" t="s">
        <v>37</v>
      </c>
      <c r="C16" t="s">
        <v>13</v>
      </c>
      <c r="D16" t="s">
        <v>23</v>
      </c>
      <c r="E16" t="s">
        <v>14</v>
      </c>
      <c r="F16" s="3">
        <v>12870</v>
      </c>
      <c r="G16" s="2">
        <v>43618</v>
      </c>
      <c r="H16" s="2">
        <v>31203</v>
      </c>
      <c r="I16">
        <f ca="1">YEAR(TODAY())-YEAR(Base[[#This Row],[Data de nascimento]])</f>
        <v>40</v>
      </c>
      <c r="J16">
        <f ca="1">YEAR(TODAY())-YEAR(Base[[#This Row],[Data de entrada]])</f>
        <v>6</v>
      </c>
    </row>
    <row r="17" spans="1:10" x14ac:dyDescent="0.25">
      <c r="A17">
        <v>16</v>
      </c>
      <c r="B17" t="s">
        <v>38</v>
      </c>
      <c r="C17" t="s">
        <v>13</v>
      </c>
      <c r="D17" t="s">
        <v>29</v>
      </c>
      <c r="E17" t="s">
        <v>14</v>
      </c>
      <c r="F17" s="3">
        <v>15205</v>
      </c>
      <c r="G17" s="2">
        <v>44464</v>
      </c>
      <c r="H17" s="2">
        <v>30970</v>
      </c>
      <c r="I17">
        <f ca="1">YEAR(TODAY())-YEAR(Base[[#This Row],[Data de nascimento]])</f>
        <v>41</v>
      </c>
      <c r="J17">
        <f ca="1">YEAR(TODAY())-YEAR(Base[[#This Row],[Data de entrada]])</f>
        <v>4</v>
      </c>
    </row>
    <row r="18" spans="1:10" x14ac:dyDescent="0.25">
      <c r="A18">
        <v>17</v>
      </c>
      <c r="B18" t="s">
        <v>39</v>
      </c>
      <c r="C18" t="s">
        <v>9</v>
      </c>
      <c r="D18" t="s">
        <v>29</v>
      </c>
      <c r="E18" t="s">
        <v>14</v>
      </c>
      <c r="F18" s="3">
        <v>10930</v>
      </c>
      <c r="G18" s="2">
        <v>44069</v>
      </c>
      <c r="H18" s="2">
        <v>30271</v>
      </c>
      <c r="I18">
        <f ca="1">YEAR(TODAY())-YEAR(Base[[#This Row],[Data de nascimento]])</f>
        <v>43</v>
      </c>
      <c r="J18">
        <f ca="1">YEAR(TODAY())-YEAR(Base[[#This Row],[Data de entrada]])</f>
        <v>5</v>
      </c>
    </row>
    <row r="19" spans="1:10" x14ac:dyDescent="0.25">
      <c r="A19">
        <v>18</v>
      </c>
      <c r="B19" t="s">
        <v>40</v>
      </c>
      <c r="C19" t="s">
        <v>9</v>
      </c>
      <c r="D19" t="s">
        <v>29</v>
      </c>
      <c r="E19" t="s">
        <v>14</v>
      </c>
      <c r="F19" s="3">
        <v>31865</v>
      </c>
      <c r="G19" s="2">
        <v>43654</v>
      </c>
      <c r="H19" s="2">
        <v>29521</v>
      </c>
      <c r="I19">
        <f ca="1">YEAR(TODAY())-YEAR(Base[[#This Row],[Data de nascimento]])</f>
        <v>45</v>
      </c>
      <c r="J19">
        <f ca="1">YEAR(TODAY())-YEAR(Base[[#This Row],[Data de entrada]])</f>
        <v>6</v>
      </c>
    </row>
    <row r="20" spans="1:10" x14ac:dyDescent="0.25">
      <c r="A20">
        <v>19</v>
      </c>
      <c r="B20" t="s">
        <v>41</v>
      </c>
      <c r="C20" t="s">
        <v>9</v>
      </c>
      <c r="D20" t="s">
        <v>29</v>
      </c>
      <c r="E20" t="s">
        <v>14</v>
      </c>
      <c r="F20" s="3">
        <v>46500</v>
      </c>
      <c r="G20" s="2">
        <v>44797</v>
      </c>
      <c r="H20" s="2">
        <v>29555</v>
      </c>
      <c r="I20">
        <f ca="1">YEAR(TODAY())-YEAR(Base[[#This Row],[Data de nascimento]])</f>
        <v>45</v>
      </c>
      <c r="J20">
        <f ca="1">YEAR(TODAY())-YEAR(Base[[#This Row],[Data de entrada]])</f>
        <v>3</v>
      </c>
    </row>
    <row r="21" spans="1:10" x14ac:dyDescent="0.25">
      <c r="A21">
        <v>20</v>
      </c>
      <c r="B21" t="s">
        <v>42</v>
      </c>
      <c r="C21" t="s">
        <v>9</v>
      </c>
      <c r="D21" t="s">
        <v>17</v>
      </c>
      <c r="E21" t="s">
        <v>14</v>
      </c>
      <c r="F21" s="3">
        <v>42260</v>
      </c>
      <c r="G21" s="2">
        <v>44425</v>
      </c>
      <c r="H21" s="2">
        <v>30930</v>
      </c>
      <c r="I21">
        <f ca="1">YEAR(TODAY())-YEAR(Base[[#This Row],[Data de nascimento]])</f>
        <v>41</v>
      </c>
      <c r="J21">
        <f ca="1">YEAR(TODAY())-YEAR(Base[[#This Row],[Data de entrada]])</f>
        <v>4</v>
      </c>
    </row>
    <row r="22" spans="1:10" x14ac:dyDescent="0.25">
      <c r="A22">
        <v>21</v>
      </c>
      <c r="B22" t="s">
        <v>43</v>
      </c>
      <c r="C22" t="s">
        <v>9</v>
      </c>
      <c r="D22" t="s">
        <v>23</v>
      </c>
      <c r="E22" t="s">
        <v>30</v>
      </c>
      <c r="F22" s="3">
        <v>13015</v>
      </c>
      <c r="G22" s="2">
        <v>44645</v>
      </c>
      <c r="H22" s="2">
        <v>28927</v>
      </c>
      <c r="I22">
        <f ca="1">YEAR(TODAY())-YEAR(Base[[#This Row],[Data de nascimento]])</f>
        <v>46</v>
      </c>
      <c r="J22">
        <f ca="1">YEAR(TODAY())-YEAR(Base[[#This Row],[Data de entrada]])</f>
        <v>3</v>
      </c>
    </row>
    <row r="23" spans="1:10" x14ac:dyDescent="0.25">
      <c r="A23">
        <v>22</v>
      </c>
      <c r="B23" t="s">
        <v>44</v>
      </c>
      <c r="C23" t="s">
        <v>9</v>
      </c>
      <c r="D23" t="s">
        <v>23</v>
      </c>
      <c r="E23" t="s">
        <v>14</v>
      </c>
      <c r="F23" s="3">
        <v>25275</v>
      </c>
      <c r="G23" s="2">
        <v>44256</v>
      </c>
      <c r="H23" s="2">
        <v>30792</v>
      </c>
      <c r="I23">
        <f ca="1">YEAR(TODAY())-YEAR(Base[[#This Row],[Data de nascimento]])</f>
        <v>41</v>
      </c>
      <c r="J23">
        <f ca="1">YEAR(TODAY())-YEAR(Base[[#This Row],[Data de entrada]])</f>
        <v>4</v>
      </c>
    </row>
    <row r="24" spans="1:10" x14ac:dyDescent="0.25">
      <c r="A24">
        <v>23</v>
      </c>
      <c r="B24" t="s">
        <v>45</v>
      </c>
      <c r="C24" t="s">
        <v>13</v>
      </c>
      <c r="D24" t="s">
        <v>33</v>
      </c>
      <c r="E24" t="s">
        <v>14</v>
      </c>
      <c r="F24" s="3">
        <v>39445</v>
      </c>
      <c r="G24" s="2">
        <v>44243</v>
      </c>
      <c r="H24" s="2">
        <v>30428</v>
      </c>
      <c r="I24">
        <f ca="1">YEAR(TODAY())-YEAR(Base[[#This Row],[Data de nascimento]])</f>
        <v>42</v>
      </c>
      <c r="J24">
        <f ca="1">YEAR(TODAY())-YEAR(Base[[#This Row],[Data de entrada]])</f>
        <v>4</v>
      </c>
    </row>
    <row r="25" spans="1:10" x14ac:dyDescent="0.25">
      <c r="A25">
        <v>24</v>
      </c>
      <c r="B25" t="s">
        <v>46</v>
      </c>
      <c r="C25" t="s">
        <v>9</v>
      </c>
      <c r="D25" t="s">
        <v>33</v>
      </c>
      <c r="E25" t="s">
        <v>30</v>
      </c>
      <c r="F25" s="3">
        <v>26205</v>
      </c>
      <c r="G25" s="2">
        <v>44226</v>
      </c>
      <c r="H25" s="2">
        <v>27604</v>
      </c>
      <c r="I25">
        <f ca="1">YEAR(TODAY())-YEAR(Base[[#This Row],[Data de nascimento]])</f>
        <v>50</v>
      </c>
      <c r="J25">
        <f ca="1">YEAR(TODAY())-YEAR(Base[[#This Row],[Data de entrada]])</f>
        <v>4</v>
      </c>
    </row>
    <row r="26" spans="1:10" x14ac:dyDescent="0.25">
      <c r="A26">
        <v>25</v>
      </c>
      <c r="B26" t="s">
        <v>47</v>
      </c>
      <c r="C26" t="s">
        <v>9</v>
      </c>
      <c r="D26" t="s">
        <v>33</v>
      </c>
      <c r="E26" t="s">
        <v>14</v>
      </c>
      <c r="F26" s="3">
        <v>12445</v>
      </c>
      <c r="G26" s="2">
        <v>44323</v>
      </c>
      <c r="H26" s="2">
        <v>27836</v>
      </c>
      <c r="I26">
        <f ca="1">YEAR(TODAY())-YEAR(Base[[#This Row],[Data de nascimento]])</f>
        <v>49</v>
      </c>
      <c r="J26">
        <f ca="1">YEAR(TODAY())-YEAR(Base[[#This Row],[Data de entrada]])</f>
        <v>4</v>
      </c>
    </row>
    <row r="27" spans="1:10" x14ac:dyDescent="0.25">
      <c r="A27">
        <v>26</v>
      </c>
      <c r="B27" t="s">
        <v>48</v>
      </c>
      <c r="C27" t="s">
        <v>9</v>
      </c>
      <c r="D27" t="s">
        <v>33</v>
      </c>
      <c r="E27" t="s">
        <v>14</v>
      </c>
      <c r="F27" s="3">
        <v>39810</v>
      </c>
      <c r="G27" s="2">
        <v>43843</v>
      </c>
      <c r="H27" s="2">
        <v>29769</v>
      </c>
      <c r="I27">
        <f ca="1">YEAR(TODAY())-YEAR(Base[[#This Row],[Data de nascimento]])</f>
        <v>44</v>
      </c>
      <c r="J27">
        <f ca="1">YEAR(TODAY())-YEAR(Base[[#This Row],[Data de entrada]])</f>
        <v>5</v>
      </c>
    </row>
    <row r="28" spans="1:10" x14ac:dyDescent="0.25">
      <c r="A28">
        <v>27</v>
      </c>
      <c r="B28" t="s">
        <v>49</v>
      </c>
      <c r="C28" t="s">
        <v>9</v>
      </c>
      <c r="D28" t="s">
        <v>33</v>
      </c>
      <c r="E28" t="s">
        <v>30</v>
      </c>
      <c r="F28" s="3">
        <v>12025</v>
      </c>
      <c r="G28" s="2">
        <v>43534</v>
      </c>
      <c r="H28" s="2">
        <v>30201</v>
      </c>
      <c r="I28">
        <f ca="1">YEAR(TODAY())-YEAR(Base[[#This Row],[Data de nascimento]])</f>
        <v>43</v>
      </c>
      <c r="J28">
        <f ca="1">YEAR(TODAY())-YEAR(Base[[#This Row],[Data de entrada]])</f>
        <v>6</v>
      </c>
    </row>
    <row r="29" spans="1:10" x14ac:dyDescent="0.25">
      <c r="A29">
        <v>28</v>
      </c>
      <c r="B29" t="s">
        <v>50</v>
      </c>
      <c r="C29" t="s">
        <v>9</v>
      </c>
      <c r="D29" t="s">
        <v>23</v>
      </c>
      <c r="E29" t="s">
        <v>14</v>
      </c>
      <c r="F29" s="3">
        <v>33875</v>
      </c>
      <c r="G29" s="2">
        <v>43658</v>
      </c>
      <c r="H29" s="2">
        <v>29152</v>
      </c>
      <c r="I29">
        <f ca="1">YEAR(TODAY())-YEAR(Base[[#This Row],[Data de nascimento]])</f>
        <v>46</v>
      </c>
      <c r="J29">
        <f ca="1">YEAR(TODAY())-YEAR(Base[[#This Row],[Data de entrada]])</f>
        <v>6</v>
      </c>
    </row>
    <row r="30" spans="1:10" x14ac:dyDescent="0.25">
      <c r="A30">
        <v>29</v>
      </c>
      <c r="B30" t="s">
        <v>51</v>
      </c>
      <c r="C30" t="s">
        <v>9</v>
      </c>
      <c r="D30" t="s">
        <v>29</v>
      </c>
      <c r="E30" t="s">
        <v>14</v>
      </c>
      <c r="F30" s="3">
        <v>19860</v>
      </c>
      <c r="G30" s="2">
        <v>43872</v>
      </c>
      <c r="H30" s="2">
        <v>29904</v>
      </c>
      <c r="I30">
        <f ca="1">YEAR(TODAY())-YEAR(Base[[#This Row],[Data de nascimento]])</f>
        <v>44</v>
      </c>
      <c r="J30">
        <f ca="1">YEAR(TODAY())-YEAR(Base[[#This Row],[Data de entrada]])</f>
        <v>5</v>
      </c>
    </row>
    <row r="31" spans="1:10" x14ac:dyDescent="0.25">
      <c r="A31">
        <v>30</v>
      </c>
      <c r="B31" t="s">
        <v>52</v>
      </c>
      <c r="C31" t="s">
        <v>13</v>
      </c>
      <c r="D31" t="s">
        <v>29</v>
      </c>
      <c r="E31" t="s">
        <v>14</v>
      </c>
      <c r="F31" s="3">
        <v>44355</v>
      </c>
      <c r="G31" s="2">
        <v>44396</v>
      </c>
      <c r="H31" s="2">
        <v>30755</v>
      </c>
      <c r="I31">
        <f ca="1">YEAR(TODAY())-YEAR(Base[[#This Row],[Data de nascimento]])</f>
        <v>41</v>
      </c>
      <c r="J31">
        <f ca="1">YEAR(TODAY())-YEAR(Base[[#This Row],[Data de entrada]])</f>
        <v>4</v>
      </c>
    </row>
    <row r="32" spans="1:10" x14ac:dyDescent="0.25">
      <c r="A32">
        <v>31</v>
      </c>
      <c r="B32" t="s">
        <v>53</v>
      </c>
      <c r="C32" t="s">
        <v>13</v>
      </c>
      <c r="D32" t="s">
        <v>29</v>
      </c>
      <c r="E32" t="s">
        <v>14</v>
      </c>
      <c r="F32" s="3">
        <v>46975</v>
      </c>
      <c r="G32" s="2">
        <v>44715</v>
      </c>
      <c r="H32" s="2">
        <v>29309</v>
      </c>
      <c r="I32">
        <f ca="1">YEAR(TODAY())-YEAR(Base[[#This Row],[Data de nascimento]])</f>
        <v>45</v>
      </c>
      <c r="J32">
        <f ca="1">YEAR(TODAY())-YEAR(Base[[#This Row],[Data de entrada]])</f>
        <v>3</v>
      </c>
    </row>
    <row r="33" spans="1:10" x14ac:dyDescent="0.25">
      <c r="A33">
        <v>32</v>
      </c>
      <c r="B33" t="s">
        <v>54</v>
      </c>
      <c r="C33" t="s">
        <v>9</v>
      </c>
      <c r="D33" t="s">
        <v>31</v>
      </c>
      <c r="E33" t="s">
        <v>14</v>
      </c>
      <c r="F33" s="3">
        <v>12850</v>
      </c>
      <c r="G33" s="2">
        <v>43511</v>
      </c>
      <c r="H33" s="2">
        <v>29424</v>
      </c>
      <c r="I33">
        <f ca="1">YEAR(TODAY())-YEAR(Base[[#This Row],[Data de nascimento]])</f>
        <v>45</v>
      </c>
      <c r="J33">
        <f ca="1">YEAR(TODAY())-YEAR(Base[[#This Row],[Data de entrada]])</f>
        <v>6</v>
      </c>
    </row>
    <row r="34" spans="1:10" x14ac:dyDescent="0.25">
      <c r="A34">
        <v>33</v>
      </c>
      <c r="B34" t="s">
        <v>55</v>
      </c>
      <c r="C34" t="s">
        <v>9</v>
      </c>
      <c r="D34" t="s">
        <v>31</v>
      </c>
      <c r="E34" t="s">
        <v>14</v>
      </c>
      <c r="F34" s="3">
        <v>41865</v>
      </c>
      <c r="G34" s="2">
        <v>44070</v>
      </c>
      <c r="H34" s="2">
        <v>27729</v>
      </c>
      <c r="I34">
        <f ca="1">YEAR(TODAY())-YEAR(Base[[#This Row],[Data de nascimento]])</f>
        <v>50</v>
      </c>
      <c r="J34">
        <f ca="1">YEAR(TODAY())-YEAR(Base[[#This Row],[Data de entrada]])</f>
        <v>5</v>
      </c>
    </row>
    <row r="35" spans="1:10" x14ac:dyDescent="0.25">
      <c r="A35">
        <v>34</v>
      </c>
      <c r="B35" t="s">
        <v>56</v>
      </c>
      <c r="C35" t="s">
        <v>13</v>
      </c>
      <c r="D35" t="s">
        <v>31</v>
      </c>
      <c r="E35" t="s">
        <v>14</v>
      </c>
      <c r="F35" s="3">
        <v>38455</v>
      </c>
      <c r="G35" s="2">
        <v>43984</v>
      </c>
      <c r="H35" s="2">
        <v>30575</v>
      </c>
      <c r="I35">
        <f ca="1">YEAR(TODAY())-YEAR(Base[[#This Row],[Data de nascimento]])</f>
        <v>42</v>
      </c>
      <c r="J35">
        <f ca="1">YEAR(TODAY())-YEAR(Base[[#This Row],[Data de entrada]])</f>
        <v>5</v>
      </c>
    </row>
    <row r="36" spans="1:10" x14ac:dyDescent="0.25">
      <c r="A36">
        <v>35</v>
      </c>
      <c r="B36" t="s">
        <v>57</v>
      </c>
      <c r="C36" t="s">
        <v>9</v>
      </c>
      <c r="D36" t="s">
        <v>31</v>
      </c>
      <c r="E36" t="s">
        <v>30</v>
      </c>
      <c r="F36" s="3">
        <v>45360</v>
      </c>
      <c r="G36" s="2">
        <v>44471</v>
      </c>
      <c r="H36" s="2">
        <v>28254</v>
      </c>
      <c r="I36">
        <f ca="1">YEAR(TODAY())-YEAR(Base[[#This Row],[Data de nascimento]])</f>
        <v>48</v>
      </c>
      <c r="J36">
        <f ca="1">YEAR(TODAY())-YEAR(Base[[#This Row],[Data de entrada]])</f>
        <v>4</v>
      </c>
    </row>
    <row r="37" spans="1:10" x14ac:dyDescent="0.25">
      <c r="A37">
        <v>36</v>
      </c>
      <c r="B37" t="s">
        <v>58</v>
      </c>
      <c r="C37" t="s">
        <v>13</v>
      </c>
      <c r="D37" t="s">
        <v>31</v>
      </c>
      <c r="E37" t="s">
        <v>14</v>
      </c>
      <c r="F37" s="3">
        <v>39600</v>
      </c>
      <c r="G37" s="2">
        <v>43738</v>
      </c>
      <c r="H37" s="2">
        <v>29169</v>
      </c>
      <c r="I37">
        <f ca="1">YEAR(TODAY())-YEAR(Base[[#This Row],[Data de nascimento]])</f>
        <v>46</v>
      </c>
      <c r="J37">
        <f ca="1">YEAR(TODAY())-YEAR(Base[[#This Row],[Data de entrada]])</f>
        <v>6</v>
      </c>
    </row>
    <row r="38" spans="1:10" x14ac:dyDescent="0.25">
      <c r="A38">
        <v>37</v>
      </c>
      <c r="B38" t="s">
        <v>59</v>
      </c>
      <c r="C38" t="s">
        <v>9</v>
      </c>
      <c r="D38" t="s">
        <v>31</v>
      </c>
      <c r="E38" t="s">
        <v>14</v>
      </c>
      <c r="F38" s="3">
        <v>35095</v>
      </c>
      <c r="G38" s="2">
        <v>44561</v>
      </c>
      <c r="H38" s="2">
        <v>30263</v>
      </c>
      <c r="I38">
        <f ca="1">YEAR(TODAY())-YEAR(Base[[#This Row],[Data de nascimento]])</f>
        <v>43</v>
      </c>
      <c r="J38">
        <f ca="1">YEAR(TODAY())-YEAR(Base[[#This Row],[Data de entrada]])</f>
        <v>4</v>
      </c>
    </row>
    <row r="39" spans="1:10" x14ac:dyDescent="0.25">
      <c r="A39">
        <v>38</v>
      </c>
      <c r="B39" t="s">
        <v>60</v>
      </c>
      <c r="C39" t="s">
        <v>13</v>
      </c>
      <c r="D39" t="s">
        <v>31</v>
      </c>
      <c r="E39" t="s">
        <v>30</v>
      </c>
      <c r="F39" s="3">
        <v>40660</v>
      </c>
      <c r="G39" s="2">
        <v>43970</v>
      </c>
      <c r="H39" s="2">
        <v>29825</v>
      </c>
      <c r="I39">
        <f ca="1">YEAR(TODAY())-YEAR(Base[[#This Row],[Data de nascimento]])</f>
        <v>44</v>
      </c>
      <c r="J39">
        <f ca="1">YEAR(TODAY())-YEAR(Base[[#This Row],[Data de entrada]])</f>
        <v>5</v>
      </c>
    </row>
    <row r="40" spans="1:10" x14ac:dyDescent="0.25">
      <c r="A40">
        <v>39</v>
      </c>
      <c r="B40" t="s">
        <v>61</v>
      </c>
      <c r="C40" t="s">
        <v>9</v>
      </c>
      <c r="D40" t="s">
        <v>17</v>
      </c>
      <c r="E40" t="s">
        <v>14</v>
      </c>
      <c r="F40" s="3">
        <v>47535</v>
      </c>
      <c r="G40" s="2">
        <v>43978</v>
      </c>
      <c r="H40" s="2">
        <v>27627</v>
      </c>
      <c r="I40">
        <f ca="1">YEAR(TODAY())-YEAR(Base[[#This Row],[Data de nascimento]])</f>
        <v>50</v>
      </c>
      <c r="J40">
        <f ca="1">YEAR(TODAY())-YEAR(Base[[#This Row],[Data de entrada]])</f>
        <v>5</v>
      </c>
    </row>
    <row r="41" spans="1:10" x14ac:dyDescent="0.25">
      <c r="A41">
        <v>40</v>
      </c>
      <c r="B41" t="s">
        <v>62</v>
      </c>
      <c r="C41" t="s">
        <v>9</v>
      </c>
      <c r="D41" t="s">
        <v>25</v>
      </c>
      <c r="E41" t="s">
        <v>14</v>
      </c>
      <c r="F41" s="3">
        <v>45700</v>
      </c>
      <c r="G41" s="2">
        <v>43623</v>
      </c>
      <c r="H41" s="2">
        <v>31151</v>
      </c>
      <c r="I41">
        <f ca="1">YEAR(TODAY())-YEAR(Base[[#This Row],[Data de nascimento]])</f>
        <v>40</v>
      </c>
      <c r="J41">
        <f ca="1">YEAR(TODAY())-YEAR(Base[[#This Row],[Data de entrada]])</f>
        <v>6</v>
      </c>
    </row>
    <row r="42" spans="1:10" x14ac:dyDescent="0.25">
      <c r="A42">
        <v>41</v>
      </c>
      <c r="B42" t="s">
        <v>63</v>
      </c>
      <c r="C42" t="s">
        <v>9</v>
      </c>
      <c r="D42" t="s">
        <v>17</v>
      </c>
      <c r="E42" t="s">
        <v>14</v>
      </c>
      <c r="F42" s="3">
        <v>40540</v>
      </c>
      <c r="G42" s="2">
        <v>43524</v>
      </c>
      <c r="H42" s="2">
        <v>30525</v>
      </c>
      <c r="I42">
        <f ca="1">YEAR(TODAY())-YEAR(Base[[#This Row],[Data de nascimento]])</f>
        <v>42</v>
      </c>
      <c r="J42">
        <f ca="1">YEAR(TODAY())-YEAR(Base[[#This Row],[Data de entrada]])</f>
        <v>6</v>
      </c>
    </row>
    <row r="43" spans="1:10" x14ac:dyDescent="0.25">
      <c r="A43">
        <v>42</v>
      </c>
      <c r="B43" t="s">
        <v>64</v>
      </c>
      <c r="C43" t="s">
        <v>9</v>
      </c>
      <c r="D43" t="s">
        <v>29</v>
      </c>
      <c r="E43" t="s">
        <v>11</v>
      </c>
      <c r="F43" s="3">
        <v>41575</v>
      </c>
      <c r="G43" s="2">
        <v>44384</v>
      </c>
      <c r="H43" s="2">
        <v>29356</v>
      </c>
      <c r="I43">
        <f ca="1">YEAR(TODAY())-YEAR(Base[[#This Row],[Data de nascimento]])</f>
        <v>45</v>
      </c>
      <c r="J43">
        <f ca="1">YEAR(TODAY())-YEAR(Base[[#This Row],[Data de entrada]])</f>
        <v>4</v>
      </c>
    </row>
    <row r="44" spans="1:10" x14ac:dyDescent="0.25">
      <c r="A44">
        <v>43</v>
      </c>
      <c r="B44" t="s">
        <v>65</v>
      </c>
      <c r="C44" t="s">
        <v>9</v>
      </c>
      <c r="D44" t="s">
        <v>29</v>
      </c>
      <c r="E44" t="s">
        <v>14</v>
      </c>
      <c r="F44" s="3">
        <v>12325</v>
      </c>
      <c r="G44" s="2">
        <v>43622</v>
      </c>
      <c r="H44" s="2">
        <v>27354</v>
      </c>
      <c r="I44">
        <f ca="1">YEAR(TODAY())-YEAR(Base[[#This Row],[Data de nascimento]])</f>
        <v>51</v>
      </c>
      <c r="J44">
        <f ca="1">YEAR(TODAY())-YEAR(Base[[#This Row],[Data de entrada]])</f>
        <v>6</v>
      </c>
    </row>
    <row r="45" spans="1:10" x14ac:dyDescent="0.25">
      <c r="A45">
        <v>44</v>
      </c>
      <c r="B45" t="s">
        <v>66</v>
      </c>
      <c r="C45" t="s">
        <v>13</v>
      </c>
      <c r="D45" t="s">
        <v>31</v>
      </c>
      <c r="E45" t="s">
        <v>14</v>
      </c>
      <c r="F45" s="3">
        <v>15205</v>
      </c>
      <c r="G45" s="2">
        <v>44117</v>
      </c>
      <c r="H45" s="2">
        <v>29418</v>
      </c>
      <c r="I45">
        <f ca="1">YEAR(TODAY())-YEAR(Base[[#This Row],[Data de nascimento]])</f>
        <v>45</v>
      </c>
      <c r="J45">
        <f ca="1">YEAR(TODAY())-YEAR(Base[[#This Row],[Data de entrada]])</f>
        <v>5</v>
      </c>
    </row>
    <row r="46" spans="1:10" x14ac:dyDescent="0.25">
      <c r="A46">
        <v>45</v>
      </c>
      <c r="B46" t="s">
        <v>67</v>
      </c>
      <c r="C46" t="s">
        <v>13</v>
      </c>
      <c r="D46" t="s">
        <v>31</v>
      </c>
      <c r="E46" t="s">
        <v>14</v>
      </c>
      <c r="F46" s="3">
        <v>35315</v>
      </c>
      <c r="G46" s="2">
        <v>44036</v>
      </c>
      <c r="H46" s="2">
        <v>29869</v>
      </c>
      <c r="I46">
        <f ca="1">YEAR(TODAY())-YEAR(Base[[#This Row],[Data de nascimento]])</f>
        <v>44</v>
      </c>
      <c r="J46">
        <f ca="1">YEAR(TODAY())-YEAR(Base[[#This Row],[Data de entrada]])</f>
        <v>5</v>
      </c>
    </row>
    <row r="47" spans="1:10" x14ac:dyDescent="0.25">
      <c r="A47">
        <v>46</v>
      </c>
      <c r="B47" t="s">
        <v>68</v>
      </c>
      <c r="C47" t="s">
        <v>13</v>
      </c>
      <c r="D47" t="s">
        <v>31</v>
      </c>
      <c r="E47" t="s">
        <v>11</v>
      </c>
      <c r="F47" s="3">
        <v>37400</v>
      </c>
      <c r="G47" s="2">
        <v>43869</v>
      </c>
      <c r="H47" s="2">
        <v>29706</v>
      </c>
      <c r="I47">
        <f ca="1">YEAR(TODAY())-YEAR(Base[[#This Row],[Data de nascimento]])</f>
        <v>44</v>
      </c>
      <c r="J47">
        <f ca="1">YEAR(TODAY())-YEAR(Base[[#This Row],[Data de entrada]])</f>
        <v>5</v>
      </c>
    </row>
    <row r="48" spans="1:10" x14ac:dyDescent="0.25">
      <c r="A48">
        <v>47</v>
      </c>
      <c r="B48" t="s">
        <v>69</v>
      </c>
      <c r="C48" t="s">
        <v>13</v>
      </c>
      <c r="D48" t="s">
        <v>31</v>
      </c>
      <c r="E48" t="s">
        <v>14</v>
      </c>
      <c r="F48" s="3">
        <v>20195</v>
      </c>
      <c r="G48" s="2">
        <v>44703</v>
      </c>
      <c r="H48" s="2">
        <v>31236</v>
      </c>
      <c r="I48">
        <f ca="1">YEAR(TODAY())-YEAR(Base[[#This Row],[Data de nascimento]])</f>
        <v>40</v>
      </c>
      <c r="J48">
        <f ca="1">YEAR(TODAY())-YEAR(Base[[#This Row],[Data de entrada]])</f>
        <v>3</v>
      </c>
    </row>
    <row r="49" spans="1:10" x14ac:dyDescent="0.25">
      <c r="A49">
        <v>48</v>
      </c>
      <c r="B49" t="s">
        <v>70</v>
      </c>
      <c r="C49" t="s">
        <v>13</v>
      </c>
      <c r="D49" t="s">
        <v>31</v>
      </c>
      <c r="E49" t="s">
        <v>27</v>
      </c>
      <c r="F49" s="3">
        <v>35140</v>
      </c>
      <c r="G49" s="2">
        <v>44552</v>
      </c>
      <c r="H49" s="2">
        <v>27817</v>
      </c>
      <c r="I49">
        <f ca="1">YEAR(TODAY())-YEAR(Base[[#This Row],[Data de nascimento]])</f>
        <v>49</v>
      </c>
      <c r="J49">
        <f ca="1">YEAR(TODAY())-YEAR(Base[[#This Row],[Data de entrada]])</f>
        <v>4</v>
      </c>
    </row>
    <row r="50" spans="1:10" x14ac:dyDescent="0.25">
      <c r="A50">
        <v>49</v>
      </c>
      <c r="B50" t="s">
        <v>71</v>
      </c>
      <c r="C50" t="s">
        <v>9</v>
      </c>
      <c r="D50" t="s">
        <v>31</v>
      </c>
      <c r="E50" t="s">
        <v>30</v>
      </c>
      <c r="F50" s="3">
        <v>10345</v>
      </c>
      <c r="G50" s="2">
        <v>44748</v>
      </c>
      <c r="H50" s="2">
        <v>31092</v>
      </c>
      <c r="I50">
        <f ca="1">YEAR(TODAY())-YEAR(Base[[#This Row],[Data de nascimento]])</f>
        <v>40</v>
      </c>
      <c r="J50">
        <f ca="1">YEAR(TODAY())-YEAR(Base[[#This Row],[Data de entrada]])</f>
        <v>3</v>
      </c>
    </row>
    <row r="51" spans="1:10" x14ac:dyDescent="0.25">
      <c r="A51">
        <v>50</v>
      </c>
      <c r="B51" t="s">
        <v>72</v>
      </c>
      <c r="C51" t="s">
        <v>9</v>
      </c>
      <c r="D51" t="s">
        <v>29</v>
      </c>
      <c r="E51" t="s">
        <v>14</v>
      </c>
      <c r="F51" s="3">
        <v>40465</v>
      </c>
      <c r="G51" s="2">
        <v>44778</v>
      </c>
      <c r="H51" s="2">
        <v>30301</v>
      </c>
      <c r="I51">
        <f ca="1">YEAR(TODAY())-YEAR(Base[[#This Row],[Data de nascimento]])</f>
        <v>43</v>
      </c>
      <c r="J51">
        <f ca="1">YEAR(TODAY())-YEAR(Base[[#This Row],[Data de entrada]])</f>
        <v>3</v>
      </c>
    </row>
    <row r="52" spans="1:10" x14ac:dyDescent="0.25">
      <c r="A52">
        <v>51</v>
      </c>
      <c r="B52" t="s">
        <v>73</v>
      </c>
      <c r="C52" t="s">
        <v>13</v>
      </c>
      <c r="D52" t="s">
        <v>17</v>
      </c>
      <c r="E52" t="s">
        <v>14</v>
      </c>
      <c r="F52" s="3">
        <v>19530</v>
      </c>
      <c r="G52" s="2">
        <v>44773</v>
      </c>
      <c r="H52" s="2">
        <v>27787</v>
      </c>
      <c r="I52">
        <f ca="1">YEAR(TODAY())-YEAR(Base[[#This Row],[Data de nascimento]])</f>
        <v>49</v>
      </c>
      <c r="J52">
        <f ca="1">YEAR(TODAY())-YEAR(Base[[#This Row],[Data de entrada]])</f>
        <v>3</v>
      </c>
    </row>
    <row r="53" spans="1:10" x14ac:dyDescent="0.25">
      <c r="A53">
        <v>52</v>
      </c>
      <c r="B53" t="s">
        <v>74</v>
      </c>
      <c r="C53" t="s">
        <v>9</v>
      </c>
      <c r="D53" t="s">
        <v>23</v>
      </c>
      <c r="E53" t="s">
        <v>14</v>
      </c>
      <c r="F53" s="3">
        <v>21235</v>
      </c>
      <c r="G53" s="2">
        <v>44224</v>
      </c>
      <c r="H53" s="2">
        <v>28291</v>
      </c>
      <c r="I53">
        <f ca="1">YEAR(TODAY())-YEAR(Base[[#This Row],[Data de nascimento]])</f>
        <v>48</v>
      </c>
      <c r="J53">
        <f ca="1">YEAR(TODAY())-YEAR(Base[[#This Row],[Data de entrada]])</f>
        <v>4</v>
      </c>
    </row>
    <row r="54" spans="1:10" x14ac:dyDescent="0.25">
      <c r="A54">
        <v>53</v>
      </c>
      <c r="B54" t="s">
        <v>75</v>
      </c>
      <c r="C54" t="s">
        <v>13</v>
      </c>
      <c r="D54" t="s">
        <v>23</v>
      </c>
      <c r="E54" t="s">
        <v>14</v>
      </c>
      <c r="F54" s="3">
        <v>29575</v>
      </c>
      <c r="G54" s="2">
        <v>44628</v>
      </c>
      <c r="H54" s="2">
        <v>27989</v>
      </c>
      <c r="I54">
        <f ca="1">YEAR(TODAY())-YEAR(Base[[#This Row],[Data de nascimento]])</f>
        <v>49</v>
      </c>
      <c r="J54">
        <f ca="1">YEAR(TODAY())-YEAR(Base[[#This Row],[Data de entrada]])</f>
        <v>3</v>
      </c>
    </row>
    <row r="55" spans="1:10" x14ac:dyDescent="0.25">
      <c r="A55">
        <v>54</v>
      </c>
      <c r="B55" t="s">
        <v>76</v>
      </c>
      <c r="C55" t="s">
        <v>9</v>
      </c>
      <c r="D55" t="s">
        <v>10</v>
      </c>
      <c r="E55" t="s">
        <v>14</v>
      </c>
      <c r="F55" s="3">
        <v>22055</v>
      </c>
      <c r="G55" s="2">
        <v>43551</v>
      </c>
      <c r="H55" s="2">
        <v>29240</v>
      </c>
      <c r="I55">
        <f ca="1">YEAR(TODAY())-YEAR(Base[[#This Row],[Data de nascimento]])</f>
        <v>45</v>
      </c>
      <c r="J55">
        <f ca="1">YEAR(TODAY())-YEAR(Base[[#This Row],[Data de entrada]])</f>
        <v>6</v>
      </c>
    </row>
    <row r="56" spans="1:10" x14ac:dyDescent="0.25">
      <c r="A56">
        <v>55</v>
      </c>
      <c r="B56" t="s">
        <v>77</v>
      </c>
      <c r="C56" t="s">
        <v>13</v>
      </c>
      <c r="D56" t="s">
        <v>17</v>
      </c>
      <c r="E56" t="s">
        <v>30</v>
      </c>
      <c r="F56" s="3">
        <v>18940</v>
      </c>
      <c r="G56" s="2">
        <v>43719</v>
      </c>
      <c r="H56" s="2">
        <v>29394</v>
      </c>
      <c r="I56">
        <f ca="1">YEAR(TODAY())-YEAR(Base[[#This Row],[Data de nascimento]])</f>
        <v>45</v>
      </c>
      <c r="J56">
        <f ca="1">YEAR(TODAY())-YEAR(Base[[#This Row],[Data de entrada]])</f>
        <v>6</v>
      </c>
    </row>
    <row r="57" spans="1:10" x14ac:dyDescent="0.25">
      <c r="A57">
        <v>56</v>
      </c>
      <c r="B57" t="s">
        <v>78</v>
      </c>
      <c r="C57" t="s">
        <v>9</v>
      </c>
      <c r="D57" t="s">
        <v>17</v>
      </c>
      <c r="E57" t="s">
        <v>14</v>
      </c>
      <c r="F57" s="3">
        <v>18725</v>
      </c>
      <c r="G57" s="2">
        <v>44808</v>
      </c>
      <c r="H57" s="2">
        <v>30780</v>
      </c>
      <c r="I57">
        <f ca="1">YEAR(TODAY())-YEAR(Base[[#This Row],[Data de nascimento]])</f>
        <v>41</v>
      </c>
      <c r="J57">
        <f ca="1">YEAR(TODAY())-YEAR(Base[[#This Row],[Data de entrada]])</f>
        <v>3</v>
      </c>
    </row>
    <row r="58" spans="1:10" x14ac:dyDescent="0.25">
      <c r="A58">
        <v>57</v>
      </c>
      <c r="B58" t="s">
        <v>79</v>
      </c>
      <c r="C58" t="s">
        <v>9</v>
      </c>
      <c r="D58" t="s">
        <v>31</v>
      </c>
      <c r="E58" t="s">
        <v>11</v>
      </c>
      <c r="F58" s="3">
        <v>31770</v>
      </c>
      <c r="G58" s="2">
        <v>43871</v>
      </c>
      <c r="H58" s="2">
        <v>28225</v>
      </c>
      <c r="I58">
        <f ca="1">YEAR(TODAY())-YEAR(Base[[#This Row],[Data de nascimento]])</f>
        <v>48</v>
      </c>
      <c r="J58">
        <f ca="1">YEAR(TODAY())-YEAR(Base[[#This Row],[Data de entrada]])</f>
        <v>5</v>
      </c>
    </row>
    <row r="59" spans="1:10" x14ac:dyDescent="0.25">
      <c r="A59">
        <v>58</v>
      </c>
      <c r="B59" t="s">
        <v>80</v>
      </c>
      <c r="C59" t="s">
        <v>13</v>
      </c>
      <c r="D59" t="s">
        <v>31</v>
      </c>
      <c r="E59" t="s">
        <v>14</v>
      </c>
      <c r="F59" s="3">
        <v>22615</v>
      </c>
      <c r="G59" s="2">
        <v>44172</v>
      </c>
      <c r="H59" s="2">
        <v>27772</v>
      </c>
      <c r="I59">
        <f ca="1">YEAR(TODAY())-YEAR(Base[[#This Row],[Data de nascimento]])</f>
        <v>49</v>
      </c>
      <c r="J59">
        <f ca="1">YEAR(TODAY())-YEAR(Base[[#This Row],[Data de entrada]])</f>
        <v>5</v>
      </c>
    </row>
    <row r="60" spans="1:10" x14ac:dyDescent="0.25">
      <c r="A60">
        <v>59</v>
      </c>
      <c r="B60" t="s">
        <v>81</v>
      </c>
      <c r="C60" t="s">
        <v>13</v>
      </c>
      <c r="D60" t="s">
        <v>31</v>
      </c>
      <c r="E60" t="s">
        <v>14</v>
      </c>
      <c r="F60" s="3">
        <v>10680</v>
      </c>
      <c r="G60" s="2">
        <v>44147</v>
      </c>
      <c r="H60" s="2">
        <v>28251</v>
      </c>
      <c r="I60">
        <f ca="1">YEAR(TODAY())-YEAR(Base[[#This Row],[Data de nascimento]])</f>
        <v>48</v>
      </c>
      <c r="J60">
        <f ca="1">YEAR(TODAY())-YEAR(Base[[#This Row],[Data de entrada]])</f>
        <v>5</v>
      </c>
    </row>
    <row r="61" spans="1:10" x14ac:dyDescent="0.25">
      <c r="A61">
        <v>60</v>
      </c>
      <c r="B61" t="s">
        <v>82</v>
      </c>
      <c r="C61" t="s">
        <v>9</v>
      </c>
      <c r="D61" t="s">
        <v>31</v>
      </c>
      <c r="E61" t="s">
        <v>11</v>
      </c>
      <c r="F61" s="3">
        <v>10875</v>
      </c>
      <c r="G61" s="2">
        <v>44735</v>
      </c>
      <c r="H61" s="2">
        <v>30425</v>
      </c>
      <c r="I61">
        <f ca="1">YEAR(TODAY())-YEAR(Base[[#This Row],[Data de nascimento]])</f>
        <v>42</v>
      </c>
      <c r="J61">
        <f ca="1">YEAR(TODAY())-YEAR(Base[[#This Row],[Data de entrada]])</f>
        <v>3</v>
      </c>
    </row>
    <row r="62" spans="1:10" x14ac:dyDescent="0.25">
      <c r="A62">
        <v>61</v>
      </c>
      <c r="B62" t="s">
        <v>83</v>
      </c>
      <c r="C62" t="s">
        <v>9</v>
      </c>
      <c r="D62" t="s">
        <v>31</v>
      </c>
      <c r="E62" t="s">
        <v>14</v>
      </c>
      <c r="F62" s="3">
        <v>28865</v>
      </c>
      <c r="G62" s="2">
        <v>43941</v>
      </c>
      <c r="H62" s="2">
        <v>30347</v>
      </c>
      <c r="I62">
        <f ca="1">YEAR(TODAY())-YEAR(Base[[#This Row],[Data de nascimento]])</f>
        <v>42</v>
      </c>
      <c r="J62">
        <f ca="1">YEAR(TODAY())-YEAR(Base[[#This Row],[Data de entrada]])</f>
        <v>5</v>
      </c>
    </row>
    <row r="63" spans="1:10" x14ac:dyDescent="0.25">
      <c r="A63">
        <v>62</v>
      </c>
      <c r="B63" t="s">
        <v>84</v>
      </c>
      <c r="C63" t="s">
        <v>13</v>
      </c>
      <c r="D63" t="s">
        <v>31</v>
      </c>
      <c r="E63" t="s">
        <v>14</v>
      </c>
      <c r="F63" s="3">
        <v>41005</v>
      </c>
      <c r="G63" s="2">
        <v>44407</v>
      </c>
      <c r="H63" s="2">
        <v>30959</v>
      </c>
      <c r="I63">
        <f ca="1">YEAR(TODAY())-YEAR(Base[[#This Row],[Data de nascimento]])</f>
        <v>41</v>
      </c>
      <c r="J63">
        <f ca="1">YEAR(TODAY())-YEAR(Base[[#This Row],[Data de entrada]])</f>
        <v>4</v>
      </c>
    </row>
    <row r="64" spans="1:10" x14ac:dyDescent="0.25">
      <c r="A64">
        <v>63</v>
      </c>
      <c r="B64" t="s">
        <v>85</v>
      </c>
      <c r="C64" t="s">
        <v>9</v>
      </c>
      <c r="D64" t="s">
        <v>17</v>
      </c>
      <c r="E64" t="s">
        <v>14</v>
      </c>
      <c r="F64" s="3">
        <v>15250</v>
      </c>
      <c r="G64" s="2">
        <v>44650</v>
      </c>
      <c r="H64" s="2">
        <v>29927</v>
      </c>
      <c r="I64">
        <f ca="1">YEAR(TODAY())-YEAR(Base[[#This Row],[Data de nascimento]])</f>
        <v>44</v>
      </c>
      <c r="J64">
        <f ca="1">YEAR(TODAY())-YEAR(Base[[#This Row],[Data de entrada]])</f>
        <v>3</v>
      </c>
    </row>
    <row r="65" spans="1:10" x14ac:dyDescent="0.25">
      <c r="A65">
        <v>64</v>
      </c>
      <c r="B65" t="s">
        <v>86</v>
      </c>
      <c r="C65" t="s">
        <v>13</v>
      </c>
      <c r="D65" t="s">
        <v>10</v>
      </c>
      <c r="E65" t="s">
        <v>11</v>
      </c>
      <c r="F65" s="3">
        <v>18890</v>
      </c>
      <c r="G65" s="2">
        <v>43668</v>
      </c>
      <c r="H65" s="2">
        <v>29079</v>
      </c>
      <c r="I65">
        <f ca="1">YEAR(TODAY())-YEAR(Base[[#This Row],[Data de nascimento]])</f>
        <v>46</v>
      </c>
      <c r="J65">
        <f ca="1">YEAR(TODAY())-YEAR(Base[[#This Row],[Data de entrada]])</f>
        <v>6</v>
      </c>
    </row>
    <row r="66" spans="1:10" x14ac:dyDescent="0.25">
      <c r="A66">
        <v>65</v>
      </c>
      <c r="B66" t="s">
        <v>87</v>
      </c>
      <c r="C66" t="s">
        <v>9</v>
      </c>
      <c r="D66" t="s">
        <v>10</v>
      </c>
      <c r="E66" t="s">
        <v>14</v>
      </c>
      <c r="F66" s="3">
        <v>11190</v>
      </c>
      <c r="G66" s="2">
        <v>43774</v>
      </c>
      <c r="H66" s="2">
        <v>31353</v>
      </c>
      <c r="I66">
        <f ca="1">YEAR(TODAY())-YEAR(Base[[#This Row],[Data de nascimento]])</f>
        <v>40</v>
      </c>
      <c r="J66">
        <f ca="1">YEAR(TODAY())-YEAR(Base[[#This Row],[Data de entrada]])</f>
        <v>6</v>
      </c>
    </row>
    <row r="67" spans="1:10" x14ac:dyDescent="0.25">
      <c r="A67">
        <v>66</v>
      </c>
      <c r="B67" t="s">
        <v>88</v>
      </c>
      <c r="C67" t="s">
        <v>9</v>
      </c>
      <c r="D67" t="s">
        <v>10</v>
      </c>
      <c r="E67" t="s">
        <v>11</v>
      </c>
      <c r="F67" s="3">
        <v>26525</v>
      </c>
      <c r="G67" s="2">
        <v>44812</v>
      </c>
      <c r="H67" s="2">
        <v>29646</v>
      </c>
      <c r="I67">
        <f ca="1">YEAR(TODAY())-YEAR(Base[[#This Row],[Data de nascimento]])</f>
        <v>44</v>
      </c>
      <c r="J67">
        <f ca="1">YEAR(TODAY())-YEAR(Base[[#This Row],[Data de entrada]])</f>
        <v>3</v>
      </c>
    </row>
    <row r="68" spans="1:10" x14ac:dyDescent="0.25">
      <c r="A68">
        <v>67</v>
      </c>
      <c r="B68" t="s">
        <v>89</v>
      </c>
      <c r="C68" t="s">
        <v>9</v>
      </c>
      <c r="D68" t="s">
        <v>17</v>
      </c>
      <c r="E68" t="s">
        <v>14</v>
      </c>
      <c r="F68" s="3">
        <v>12360</v>
      </c>
      <c r="G68" s="2">
        <v>43509</v>
      </c>
      <c r="H68" s="2">
        <v>28846</v>
      </c>
      <c r="I68">
        <f ca="1">YEAR(TODAY())-YEAR(Base[[#This Row],[Data de nascimento]])</f>
        <v>47</v>
      </c>
      <c r="J68">
        <f ca="1">YEAR(TODAY())-YEAR(Base[[#This Row],[Data de entrada]])</f>
        <v>6</v>
      </c>
    </row>
    <row r="69" spans="1:10" x14ac:dyDescent="0.25">
      <c r="A69">
        <v>68</v>
      </c>
      <c r="B69" t="s">
        <v>90</v>
      </c>
      <c r="C69" t="s">
        <v>13</v>
      </c>
      <c r="D69" t="s">
        <v>33</v>
      </c>
      <c r="E69" t="s">
        <v>27</v>
      </c>
      <c r="F69" s="3">
        <v>28980</v>
      </c>
      <c r="G69" s="2">
        <v>43504</v>
      </c>
      <c r="H69" s="2">
        <v>31239</v>
      </c>
      <c r="I69">
        <f ca="1">YEAR(TODAY())-YEAR(Base[[#This Row],[Data de nascimento]])</f>
        <v>40</v>
      </c>
      <c r="J69">
        <f ca="1">YEAR(TODAY())-YEAR(Base[[#This Row],[Data de entrada]])</f>
        <v>6</v>
      </c>
    </row>
    <row r="70" spans="1:10" x14ac:dyDescent="0.25">
      <c r="A70">
        <v>69</v>
      </c>
      <c r="B70" t="s">
        <v>91</v>
      </c>
      <c r="C70" t="s">
        <v>13</v>
      </c>
      <c r="D70" t="s">
        <v>33</v>
      </c>
      <c r="E70" t="s">
        <v>30</v>
      </c>
      <c r="F70" s="3">
        <v>36030</v>
      </c>
      <c r="G70" s="2">
        <v>44611</v>
      </c>
      <c r="H70" s="2">
        <v>30149</v>
      </c>
      <c r="I70">
        <f ca="1">YEAR(TODAY())-YEAR(Base[[#This Row],[Data de nascimento]])</f>
        <v>43</v>
      </c>
      <c r="J70">
        <f ca="1">YEAR(TODAY())-YEAR(Base[[#This Row],[Data de entrada]])</f>
        <v>3</v>
      </c>
    </row>
    <row r="71" spans="1:10" x14ac:dyDescent="0.25">
      <c r="A71">
        <v>70</v>
      </c>
      <c r="B71" t="s">
        <v>92</v>
      </c>
      <c r="C71" t="s">
        <v>9</v>
      </c>
      <c r="D71" t="s">
        <v>33</v>
      </c>
      <c r="E71" t="s">
        <v>14</v>
      </c>
      <c r="F71" s="3">
        <v>30945</v>
      </c>
      <c r="G71" s="2">
        <v>43860</v>
      </c>
      <c r="H71" s="2">
        <v>31188</v>
      </c>
      <c r="I71">
        <f ca="1">YEAR(TODAY())-YEAR(Base[[#This Row],[Data de nascimento]])</f>
        <v>40</v>
      </c>
      <c r="J71">
        <f ca="1">YEAR(TODAY())-YEAR(Base[[#This Row],[Data de entrada]])</f>
        <v>5</v>
      </c>
    </row>
    <row r="72" spans="1:10" x14ac:dyDescent="0.25">
      <c r="A72">
        <v>71</v>
      </c>
      <c r="B72" t="s">
        <v>93</v>
      </c>
      <c r="C72" t="s">
        <v>13</v>
      </c>
      <c r="D72" t="s">
        <v>33</v>
      </c>
      <c r="E72" t="s">
        <v>14</v>
      </c>
      <c r="F72" s="3">
        <v>27855</v>
      </c>
      <c r="G72" s="2">
        <v>44759</v>
      </c>
      <c r="H72" s="2">
        <v>29334</v>
      </c>
      <c r="I72">
        <f ca="1">YEAR(TODAY())-YEAR(Base[[#This Row],[Data de nascimento]])</f>
        <v>45</v>
      </c>
      <c r="J72">
        <f ca="1">YEAR(TODAY())-YEAR(Base[[#This Row],[Data de entrada]])</f>
        <v>3</v>
      </c>
    </row>
    <row r="73" spans="1:10" x14ac:dyDescent="0.25">
      <c r="A73">
        <v>72</v>
      </c>
      <c r="B73" t="s">
        <v>94</v>
      </c>
      <c r="C73" t="s">
        <v>13</v>
      </c>
      <c r="D73" t="s">
        <v>33</v>
      </c>
      <c r="E73" t="s">
        <v>11</v>
      </c>
      <c r="F73" s="3">
        <v>19720</v>
      </c>
      <c r="G73" s="2">
        <v>44436</v>
      </c>
      <c r="H73" s="2">
        <v>27711</v>
      </c>
      <c r="I73">
        <f ca="1">YEAR(TODAY())-YEAR(Base[[#This Row],[Data de nascimento]])</f>
        <v>50</v>
      </c>
      <c r="J73">
        <f ca="1">YEAR(TODAY())-YEAR(Base[[#This Row],[Data de entrada]])</f>
        <v>4</v>
      </c>
    </row>
    <row r="74" spans="1:10" x14ac:dyDescent="0.25">
      <c r="A74">
        <v>73</v>
      </c>
      <c r="B74" t="s">
        <v>95</v>
      </c>
      <c r="C74" t="s">
        <v>13</v>
      </c>
      <c r="D74" t="s">
        <v>33</v>
      </c>
      <c r="E74" t="s">
        <v>14</v>
      </c>
      <c r="F74" s="3">
        <v>26610</v>
      </c>
      <c r="G74" s="2">
        <v>44068</v>
      </c>
      <c r="H74" s="2">
        <v>29531</v>
      </c>
      <c r="I74">
        <f ca="1">YEAR(TODAY())-YEAR(Base[[#This Row],[Data de nascimento]])</f>
        <v>45</v>
      </c>
      <c r="J74">
        <f ca="1">YEAR(TODAY())-YEAR(Base[[#This Row],[Data de entrada]])</f>
        <v>5</v>
      </c>
    </row>
    <row r="75" spans="1:10" x14ac:dyDescent="0.25">
      <c r="A75">
        <v>74</v>
      </c>
      <c r="B75" t="s">
        <v>96</v>
      </c>
      <c r="C75" t="s">
        <v>13</v>
      </c>
      <c r="D75" t="s">
        <v>33</v>
      </c>
      <c r="E75" t="s">
        <v>27</v>
      </c>
      <c r="F75" s="3">
        <v>30705</v>
      </c>
      <c r="G75" s="2">
        <v>44875</v>
      </c>
      <c r="H75" s="2">
        <v>27832</v>
      </c>
      <c r="I75">
        <f ca="1">YEAR(TODAY())-YEAR(Base[[#This Row],[Data de nascimento]])</f>
        <v>49</v>
      </c>
      <c r="J75">
        <f ca="1">YEAR(TODAY())-YEAR(Base[[#This Row],[Data de entrada]])</f>
        <v>3</v>
      </c>
    </row>
    <row r="76" spans="1:10" x14ac:dyDescent="0.25">
      <c r="A76">
        <v>75</v>
      </c>
      <c r="B76" t="s">
        <v>97</v>
      </c>
      <c r="C76" t="s">
        <v>9</v>
      </c>
      <c r="D76" t="s">
        <v>29</v>
      </c>
      <c r="E76" t="s">
        <v>30</v>
      </c>
      <c r="F76" s="3">
        <v>32670</v>
      </c>
      <c r="G76" s="2">
        <v>44503</v>
      </c>
      <c r="H76" s="2">
        <v>31046</v>
      </c>
      <c r="I76">
        <f ca="1">YEAR(TODAY())-YEAR(Base[[#This Row],[Data de nascimento]])</f>
        <v>41</v>
      </c>
      <c r="J76">
        <f ca="1">YEAR(TODAY())-YEAR(Base[[#This Row],[Data de entrada]])</f>
        <v>4</v>
      </c>
    </row>
    <row r="77" spans="1:10" x14ac:dyDescent="0.25">
      <c r="A77">
        <v>76</v>
      </c>
      <c r="B77" t="s">
        <v>98</v>
      </c>
      <c r="C77" t="s">
        <v>9</v>
      </c>
      <c r="D77" t="s">
        <v>23</v>
      </c>
      <c r="E77" t="s">
        <v>14</v>
      </c>
      <c r="F77" s="3">
        <v>15590</v>
      </c>
      <c r="G77" s="2">
        <v>43813</v>
      </c>
      <c r="H77" s="2">
        <v>27887</v>
      </c>
      <c r="I77">
        <f ca="1">YEAR(TODAY())-YEAR(Base[[#This Row],[Data de nascimento]])</f>
        <v>49</v>
      </c>
      <c r="J77">
        <f ca="1">YEAR(TODAY())-YEAR(Base[[#This Row],[Data de entrada]])</f>
        <v>6</v>
      </c>
    </row>
    <row r="78" spans="1:10" x14ac:dyDescent="0.25">
      <c r="A78">
        <v>77</v>
      </c>
      <c r="B78" t="s">
        <v>99</v>
      </c>
      <c r="C78" t="s">
        <v>9</v>
      </c>
      <c r="D78" t="s">
        <v>23</v>
      </c>
      <c r="E78" t="s">
        <v>14</v>
      </c>
      <c r="F78" s="3">
        <v>10455</v>
      </c>
      <c r="G78" s="2">
        <v>44866</v>
      </c>
      <c r="H78" s="2">
        <v>27122</v>
      </c>
      <c r="I78">
        <f ca="1">YEAR(TODAY())-YEAR(Base[[#This Row],[Data de nascimento]])</f>
        <v>51</v>
      </c>
      <c r="J78">
        <f ca="1">YEAR(TODAY())-YEAR(Base[[#This Row],[Data de entrada]])</f>
        <v>3</v>
      </c>
    </row>
    <row r="79" spans="1:10" x14ac:dyDescent="0.25">
      <c r="A79">
        <v>78</v>
      </c>
      <c r="B79" t="s">
        <v>100</v>
      </c>
      <c r="C79" t="s">
        <v>9</v>
      </c>
      <c r="D79" t="s">
        <v>25</v>
      </c>
      <c r="E79" t="s">
        <v>14</v>
      </c>
      <c r="F79" s="3">
        <v>16495</v>
      </c>
      <c r="G79" s="2">
        <v>44785</v>
      </c>
      <c r="H79" s="2">
        <v>30562</v>
      </c>
      <c r="I79">
        <f ca="1">YEAR(TODAY())-YEAR(Base[[#This Row],[Data de nascimento]])</f>
        <v>42</v>
      </c>
      <c r="J79">
        <f ca="1">YEAR(TODAY())-YEAR(Base[[#This Row],[Data de entrada]])</f>
        <v>3</v>
      </c>
    </row>
    <row r="80" spans="1:10" x14ac:dyDescent="0.25">
      <c r="A80">
        <v>79</v>
      </c>
      <c r="B80" t="s">
        <v>101</v>
      </c>
      <c r="C80" t="s">
        <v>13</v>
      </c>
      <c r="D80" t="s">
        <v>17</v>
      </c>
      <c r="E80" t="s">
        <v>14</v>
      </c>
      <c r="F80" s="3">
        <v>47250</v>
      </c>
      <c r="G80" s="2">
        <v>44266</v>
      </c>
      <c r="H80" s="2">
        <v>29890</v>
      </c>
      <c r="I80">
        <f ca="1">YEAR(TODAY())-YEAR(Base[[#This Row],[Data de nascimento]])</f>
        <v>44</v>
      </c>
      <c r="J80">
        <f ca="1">YEAR(TODAY())-YEAR(Base[[#This Row],[Data de entrada]])</f>
        <v>4</v>
      </c>
    </row>
    <row r="81" spans="1:10" x14ac:dyDescent="0.25">
      <c r="A81">
        <v>80</v>
      </c>
      <c r="B81" t="s">
        <v>102</v>
      </c>
      <c r="C81" t="s">
        <v>9</v>
      </c>
      <c r="D81" t="s">
        <v>29</v>
      </c>
      <c r="E81" t="s">
        <v>30</v>
      </c>
      <c r="F81" s="3">
        <v>25905</v>
      </c>
      <c r="G81" s="2">
        <v>44292</v>
      </c>
      <c r="H81" s="2">
        <v>27692</v>
      </c>
      <c r="I81">
        <f ca="1">YEAR(TODAY())-YEAR(Base[[#This Row],[Data de nascimento]])</f>
        <v>50</v>
      </c>
      <c r="J81">
        <f ca="1">YEAR(TODAY())-YEAR(Base[[#This Row],[Data de entrada]])</f>
        <v>4</v>
      </c>
    </row>
    <row r="82" spans="1:10" x14ac:dyDescent="0.25">
      <c r="A82">
        <v>81</v>
      </c>
      <c r="B82" t="s">
        <v>103</v>
      </c>
      <c r="C82" t="s">
        <v>9</v>
      </c>
      <c r="D82" t="s">
        <v>23</v>
      </c>
      <c r="E82" t="s">
        <v>14</v>
      </c>
      <c r="F82" s="3">
        <v>28825</v>
      </c>
      <c r="G82" s="2">
        <v>44619</v>
      </c>
      <c r="H82" s="2">
        <v>28477</v>
      </c>
      <c r="I82">
        <f ca="1">YEAR(TODAY())-YEAR(Base[[#This Row],[Data de nascimento]])</f>
        <v>48</v>
      </c>
      <c r="J82">
        <f ca="1">YEAR(TODAY())-YEAR(Base[[#This Row],[Data de entrada]])</f>
        <v>3</v>
      </c>
    </row>
    <row r="83" spans="1:10" x14ac:dyDescent="0.25">
      <c r="A83">
        <v>82</v>
      </c>
      <c r="B83" t="s">
        <v>104</v>
      </c>
      <c r="C83" t="s">
        <v>9</v>
      </c>
      <c r="D83" t="s">
        <v>23</v>
      </c>
      <c r="E83" t="s">
        <v>11</v>
      </c>
      <c r="F83" s="3">
        <v>27015</v>
      </c>
      <c r="G83" s="2">
        <v>44261</v>
      </c>
      <c r="H83" s="2">
        <v>27811</v>
      </c>
      <c r="I83">
        <f ca="1">YEAR(TODAY())-YEAR(Base[[#This Row],[Data de nascimento]])</f>
        <v>49</v>
      </c>
      <c r="J83">
        <f ca="1">YEAR(TODAY())-YEAR(Base[[#This Row],[Data de entrada]])</f>
        <v>4</v>
      </c>
    </row>
    <row r="84" spans="1:10" x14ac:dyDescent="0.25">
      <c r="A84">
        <v>83</v>
      </c>
      <c r="B84" t="s">
        <v>105</v>
      </c>
      <c r="C84" t="s">
        <v>9</v>
      </c>
      <c r="D84" t="s">
        <v>23</v>
      </c>
      <c r="E84" t="s">
        <v>14</v>
      </c>
      <c r="F84" s="3">
        <v>11635</v>
      </c>
      <c r="G84" s="2">
        <v>44028</v>
      </c>
      <c r="H84" s="2">
        <v>29314</v>
      </c>
      <c r="I84">
        <f ca="1">YEAR(TODAY())-YEAR(Base[[#This Row],[Data de nascimento]])</f>
        <v>45</v>
      </c>
      <c r="J84">
        <f ca="1">YEAR(TODAY())-YEAR(Base[[#This Row],[Data de entrada]])</f>
        <v>5</v>
      </c>
    </row>
    <row r="85" spans="1:10" x14ac:dyDescent="0.25">
      <c r="A85">
        <v>84</v>
      </c>
      <c r="B85" t="s">
        <v>106</v>
      </c>
      <c r="C85" t="s">
        <v>13</v>
      </c>
      <c r="D85" t="s">
        <v>33</v>
      </c>
      <c r="E85" t="s">
        <v>14</v>
      </c>
      <c r="F85" s="3">
        <v>49170</v>
      </c>
      <c r="G85" s="2">
        <v>43978</v>
      </c>
      <c r="H85" s="2">
        <v>31284</v>
      </c>
      <c r="I85">
        <f ca="1">YEAR(TODAY())-YEAR(Base[[#This Row],[Data de nascimento]])</f>
        <v>40</v>
      </c>
      <c r="J85">
        <f ca="1">YEAR(TODAY())-YEAR(Base[[#This Row],[Data de entrada]])</f>
        <v>5</v>
      </c>
    </row>
    <row r="86" spans="1:10" x14ac:dyDescent="0.25">
      <c r="A86">
        <v>85</v>
      </c>
      <c r="B86" t="s">
        <v>107</v>
      </c>
      <c r="C86" t="s">
        <v>13</v>
      </c>
      <c r="D86" t="s">
        <v>33</v>
      </c>
      <c r="E86" t="s">
        <v>14</v>
      </c>
      <c r="F86" s="3">
        <v>16620</v>
      </c>
      <c r="G86" s="2">
        <v>43721</v>
      </c>
      <c r="H86" s="2">
        <v>27776</v>
      </c>
      <c r="I86">
        <f ca="1">YEAR(TODAY())-YEAR(Base[[#This Row],[Data de nascimento]])</f>
        <v>49</v>
      </c>
      <c r="J86">
        <f ca="1">YEAR(TODAY())-YEAR(Base[[#This Row],[Data de entrada]])</f>
        <v>6</v>
      </c>
    </row>
    <row r="87" spans="1:10" x14ac:dyDescent="0.25">
      <c r="A87">
        <v>86</v>
      </c>
      <c r="B87" t="s">
        <v>108</v>
      </c>
      <c r="C87" t="s">
        <v>9</v>
      </c>
      <c r="D87" t="s">
        <v>33</v>
      </c>
      <c r="E87" t="s">
        <v>30</v>
      </c>
      <c r="F87" s="3">
        <v>20560</v>
      </c>
      <c r="G87" s="2">
        <v>43909</v>
      </c>
      <c r="H87" s="2">
        <v>27098</v>
      </c>
      <c r="I87">
        <f ca="1">YEAR(TODAY())-YEAR(Base[[#This Row],[Data de nascimento]])</f>
        <v>51</v>
      </c>
      <c r="J87">
        <f ca="1">YEAR(TODAY())-YEAR(Base[[#This Row],[Data de entrada]])</f>
        <v>5</v>
      </c>
    </row>
    <row r="88" spans="1:10" x14ac:dyDescent="0.25">
      <c r="A88">
        <v>87</v>
      </c>
      <c r="B88" t="s">
        <v>109</v>
      </c>
      <c r="C88" t="s">
        <v>13</v>
      </c>
      <c r="D88" t="s">
        <v>33</v>
      </c>
      <c r="E88" t="s">
        <v>14</v>
      </c>
      <c r="F88" s="3">
        <v>40375</v>
      </c>
      <c r="G88" s="2">
        <v>44611</v>
      </c>
      <c r="H88" s="2">
        <v>29952</v>
      </c>
      <c r="I88">
        <f ca="1">YEAR(TODAY())-YEAR(Base[[#This Row],[Data de nascimento]])</f>
        <v>43</v>
      </c>
      <c r="J88">
        <f ca="1">YEAR(TODAY())-YEAR(Base[[#This Row],[Data de entrada]])</f>
        <v>3</v>
      </c>
    </row>
    <row r="89" spans="1:10" x14ac:dyDescent="0.25">
      <c r="A89">
        <v>88</v>
      </c>
      <c r="B89" t="s">
        <v>110</v>
      </c>
      <c r="C89" t="s">
        <v>9</v>
      </c>
      <c r="D89" t="s">
        <v>33</v>
      </c>
      <c r="E89" t="s">
        <v>11</v>
      </c>
      <c r="F89" s="3">
        <v>25200</v>
      </c>
      <c r="G89" s="2">
        <v>43620</v>
      </c>
      <c r="H89" s="2">
        <v>29185</v>
      </c>
      <c r="I89">
        <f ca="1">YEAR(TODAY())-YEAR(Base[[#This Row],[Data de nascimento]])</f>
        <v>46</v>
      </c>
      <c r="J89">
        <f ca="1">YEAR(TODAY())-YEAR(Base[[#This Row],[Data de entrada]])</f>
        <v>6</v>
      </c>
    </row>
    <row r="90" spans="1:10" x14ac:dyDescent="0.25">
      <c r="A90">
        <v>89</v>
      </c>
      <c r="B90" t="s">
        <v>111</v>
      </c>
      <c r="C90" t="s">
        <v>13</v>
      </c>
      <c r="D90" t="s">
        <v>23</v>
      </c>
      <c r="E90" t="s">
        <v>14</v>
      </c>
      <c r="F90" s="3">
        <v>45105</v>
      </c>
      <c r="G90" s="2">
        <v>44204</v>
      </c>
      <c r="H90" s="2">
        <v>30575</v>
      </c>
      <c r="I90">
        <f ca="1">YEAR(TODAY())-YEAR(Base[[#This Row],[Data de nascimento]])</f>
        <v>42</v>
      </c>
      <c r="J90">
        <f ca="1">YEAR(TODAY())-YEAR(Base[[#This Row],[Data de entrada]])</f>
        <v>4</v>
      </c>
    </row>
    <row r="91" spans="1:10" x14ac:dyDescent="0.25">
      <c r="A91">
        <v>90</v>
      </c>
      <c r="B91" t="s">
        <v>112</v>
      </c>
      <c r="C91" t="s">
        <v>13</v>
      </c>
      <c r="D91" t="s">
        <v>23</v>
      </c>
      <c r="E91" t="s">
        <v>14</v>
      </c>
      <c r="F91" s="3">
        <v>41850</v>
      </c>
      <c r="G91" s="2">
        <v>44821</v>
      </c>
      <c r="H91" s="2">
        <v>31220</v>
      </c>
      <c r="I91">
        <f ca="1">YEAR(TODAY())-YEAR(Base[[#This Row],[Data de nascimento]])</f>
        <v>40</v>
      </c>
      <c r="J91">
        <f ca="1">YEAR(TODAY())-YEAR(Base[[#This Row],[Data de entrada]])</f>
        <v>3</v>
      </c>
    </row>
    <row r="92" spans="1:10" x14ac:dyDescent="0.25">
      <c r="A92">
        <v>91</v>
      </c>
      <c r="B92" t="s">
        <v>113</v>
      </c>
      <c r="C92" t="s">
        <v>13</v>
      </c>
      <c r="D92" t="s">
        <v>23</v>
      </c>
      <c r="E92" t="s">
        <v>30</v>
      </c>
      <c r="F92" s="3">
        <v>29880</v>
      </c>
      <c r="G92" s="2">
        <v>43558</v>
      </c>
      <c r="H92" s="2">
        <v>27252</v>
      </c>
      <c r="I92">
        <f ca="1">YEAR(TODAY())-YEAR(Base[[#This Row],[Data de nascimento]])</f>
        <v>51</v>
      </c>
      <c r="J92">
        <f ca="1">YEAR(TODAY())-YEAR(Base[[#This Row],[Data de entrada]])</f>
        <v>6</v>
      </c>
    </row>
    <row r="93" spans="1:10" x14ac:dyDescent="0.25">
      <c r="A93">
        <v>92</v>
      </c>
      <c r="B93" t="s">
        <v>114</v>
      </c>
      <c r="C93" t="s">
        <v>9</v>
      </c>
      <c r="D93" t="s">
        <v>23</v>
      </c>
      <c r="E93" t="s">
        <v>14</v>
      </c>
      <c r="F93" s="3">
        <v>12235</v>
      </c>
      <c r="G93" s="2">
        <v>44283</v>
      </c>
      <c r="H93" s="2">
        <v>29783</v>
      </c>
      <c r="I93">
        <f ca="1">YEAR(TODAY())-YEAR(Base[[#This Row],[Data de nascimento]])</f>
        <v>44</v>
      </c>
      <c r="J93">
        <f ca="1">YEAR(TODAY())-YEAR(Base[[#This Row],[Data de entrada]])</f>
        <v>4</v>
      </c>
    </row>
    <row r="94" spans="1:10" x14ac:dyDescent="0.25">
      <c r="A94">
        <v>93</v>
      </c>
      <c r="B94" t="s">
        <v>115</v>
      </c>
      <c r="C94" t="s">
        <v>9</v>
      </c>
      <c r="D94" t="s">
        <v>23</v>
      </c>
      <c r="E94" t="s">
        <v>14</v>
      </c>
      <c r="F94" s="3">
        <v>40795</v>
      </c>
      <c r="G94" s="2">
        <v>44345</v>
      </c>
      <c r="H94" s="2">
        <v>31400</v>
      </c>
      <c r="I94">
        <f ca="1">YEAR(TODAY())-YEAR(Base[[#This Row],[Data de nascimento]])</f>
        <v>40</v>
      </c>
      <c r="J94">
        <f ca="1">YEAR(TODAY())-YEAR(Base[[#This Row],[Data de entrada]])</f>
        <v>4</v>
      </c>
    </row>
    <row r="95" spans="1:10" x14ac:dyDescent="0.25">
      <c r="A95">
        <v>94</v>
      </c>
      <c r="B95" t="s">
        <v>116</v>
      </c>
      <c r="C95" t="s">
        <v>13</v>
      </c>
      <c r="D95" t="s">
        <v>29</v>
      </c>
      <c r="E95" t="s">
        <v>30</v>
      </c>
      <c r="F95" s="3">
        <v>28895</v>
      </c>
      <c r="G95" s="2">
        <v>43863</v>
      </c>
      <c r="H95" s="2">
        <v>29379</v>
      </c>
      <c r="I95">
        <f ca="1">YEAR(TODAY())-YEAR(Base[[#This Row],[Data de nascimento]])</f>
        <v>45</v>
      </c>
      <c r="J95">
        <f ca="1">YEAR(TODAY())-YEAR(Base[[#This Row],[Data de entrada]])</f>
        <v>5</v>
      </c>
    </row>
    <row r="96" spans="1:10" x14ac:dyDescent="0.25">
      <c r="A96">
        <v>95</v>
      </c>
      <c r="B96" t="s">
        <v>117</v>
      </c>
      <c r="C96" t="s">
        <v>13</v>
      </c>
      <c r="D96" t="s">
        <v>29</v>
      </c>
      <c r="E96" t="s">
        <v>14</v>
      </c>
      <c r="F96" s="3">
        <v>44045</v>
      </c>
      <c r="G96" s="2">
        <v>44231</v>
      </c>
      <c r="H96" s="2">
        <v>30026</v>
      </c>
      <c r="I96">
        <f ca="1">YEAR(TODAY())-YEAR(Base[[#This Row],[Data de nascimento]])</f>
        <v>43</v>
      </c>
      <c r="J96">
        <f ca="1">YEAR(TODAY())-YEAR(Base[[#This Row],[Data de entrada]])</f>
        <v>4</v>
      </c>
    </row>
    <row r="97" spans="1:10" x14ac:dyDescent="0.25">
      <c r="A97">
        <v>96</v>
      </c>
      <c r="B97" t="s">
        <v>118</v>
      </c>
      <c r="C97" t="s">
        <v>13</v>
      </c>
      <c r="D97" t="s">
        <v>29</v>
      </c>
      <c r="E97" t="s">
        <v>14</v>
      </c>
      <c r="F97" s="3">
        <v>20655</v>
      </c>
      <c r="G97" s="2">
        <v>44159</v>
      </c>
      <c r="H97" s="2">
        <v>30452</v>
      </c>
      <c r="I97">
        <f ca="1">YEAR(TODAY())-YEAR(Base[[#This Row],[Data de nascimento]])</f>
        <v>42</v>
      </c>
      <c r="J97">
        <f ca="1">YEAR(TODAY())-YEAR(Base[[#This Row],[Data de entrada]])</f>
        <v>5</v>
      </c>
    </row>
    <row r="98" spans="1:10" x14ac:dyDescent="0.25">
      <c r="A98">
        <v>97</v>
      </c>
      <c r="B98" t="s">
        <v>119</v>
      </c>
      <c r="C98" t="s">
        <v>9</v>
      </c>
      <c r="D98" t="s">
        <v>29</v>
      </c>
      <c r="E98" t="s">
        <v>14</v>
      </c>
      <c r="F98" s="3">
        <v>23000</v>
      </c>
      <c r="G98" s="2">
        <v>43506</v>
      </c>
      <c r="H98" s="2">
        <v>28868</v>
      </c>
      <c r="I98">
        <f ca="1">YEAR(TODAY())-YEAR(Base[[#This Row],[Data de nascimento]])</f>
        <v>46</v>
      </c>
      <c r="J98">
        <f ca="1">YEAR(TODAY())-YEAR(Base[[#This Row],[Data de entrada]])</f>
        <v>6</v>
      </c>
    </row>
    <row r="99" spans="1:10" x14ac:dyDescent="0.25">
      <c r="A99">
        <v>98</v>
      </c>
      <c r="B99" t="s">
        <v>120</v>
      </c>
      <c r="C99" t="s">
        <v>9</v>
      </c>
      <c r="D99" t="s">
        <v>17</v>
      </c>
      <c r="E99" t="s">
        <v>30</v>
      </c>
      <c r="F99" s="3">
        <v>26085</v>
      </c>
      <c r="G99" s="2">
        <v>44333</v>
      </c>
      <c r="H99" s="2">
        <v>31252</v>
      </c>
      <c r="I99">
        <f ca="1">YEAR(TODAY())-YEAR(Base[[#This Row],[Data de nascimento]])</f>
        <v>40</v>
      </c>
      <c r="J99">
        <f ca="1">YEAR(TODAY())-YEAR(Base[[#This Row],[Data de entrada]])</f>
        <v>4</v>
      </c>
    </row>
    <row r="100" spans="1:10" x14ac:dyDescent="0.25">
      <c r="A100">
        <v>99</v>
      </c>
      <c r="B100" t="s">
        <v>121</v>
      </c>
      <c r="C100" t="s">
        <v>9</v>
      </c>
      <c r="D100" t="s">
        <v>23</v>
      </c>
      <c r="E100" t="s">
        <v>14</v>
      </c>
      <c r="F100" s="3">
        <v>24720</v>
      </c>
      <c r="G100" s="2">
        <v>44101</v>
      </c>
      <c r="H100" s="2">
        <v>31014</v>
      </c>
      <c r="I100">
        <f ca="1">YEAR(TODAY())-YEAR(Base[[#This Row],[Data de nascimento]])</f>
        <v>41</v>
      </c>
      <c r="J100">
        <f ca="1">YEAR(TODAY())-YEAR(Base[[#This Row],[Data de entrada]])</f>
        <v>5</v>
      </c>
    </row>
    <row r="101" spans="1:10" x14ac:dyDescent="0.25">
      <c r="A101">
        <v>100</v>
      </c>
      <c r="B101" s="1" t="s">
        <v>122</v>
      </c>
      <c r="C101" t="s">
        <v>13</v>
      </c>
      <c r="D101" t="s">
        <v>23</v>
      </c>
      <c r="E101" t="s">
        <v>30</v>
      </c>
      <c r="F101" s="3">
        <v>17285</v>
      </c>
      <c r="G101" s="2">
        <v>43795</v>
      </c>
      <c r="H101" s="2">
        <v>28779</v>
      </c>
      <c r="I101">
        <f ca="1">YEAR(TODAY())-YEAR(Base[[#This Row],[Data de nascimento]])</f>
        <v>47</v>
      </c>
      <c r="J101">
        <f ca="1">YEAR(TODAY())-YEAR(Base[[#This Row],[Data de entrada]])</f>
        <v>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FF386-40F9-4593-BA7C-0B8842EA8349}">
  <sheetPr codeName="Folha2"/>
  <dimension ref="A1:N25"/>
  <sheetViews>
    <sheetView showGridLines="0" zoomScale="112" zoomScaleNormal="112" workbookViewId="0">
      <selection activeCell="A19" sqref="A19"/>
    </sheetView>
  </sheetViews>
  <sheetFormatPr defaultRowHeight="15" x14ac:dyDescent="0.25"/>
  <cols>
    <col min="2" max="2" width="3.140625" customWidth="1"/>
    <col min="3" max="3" width="31.140625" bestFit="1" customWidth="1"/>
    <col min="4" max="4" width="11.140625" customWidth="1"/>
    <col min="5" max="5" width="10.7109375" bestFit="1" customWidth="1"/>
    <col min="6" max="6" width="14" bestFit="1" customWidth="1"/>
    <col min="7" max="7" width="4.85546875" customWidth="1"/>
    <col min="8" max="8" width="10.7109375" bestFit="1" customWidth="1"/>
    <col min="9" max="9" width="14" bestFit="1" customWidth="1"/>
    <col min="10" max="10" width="2.140625" customWidth="1"/>
    <col min="11" max="11" width="10.7109375" bestFit="1" customWidth="1"/>
    <col min="12" max="12" width="15.85546875" bestFit="1" customWidth="1"/>
    <col min="13" max="13" width="8" customWidth="1"/>
    <col min="14" max="14" width="10.7109375" bestFit="1" customWidth="1"/>
    <col min="15" max="15" width="19.42578125" bestFit="1" customWidth="1"/>
    <col min="16" max="16" width="17.5703125" bestFit="1" customWidth="1"/>
  </cols>
  <sheetData>
    <row r="1" spans="1:13" x14ac:dyDescent="0.25">
      <c r="A1" s="4" t="s">
        <v>123</v>
      </c>
      <c r="C1" s="4" t="s">
        <v>124</v>
      </c>
      <c r="E1" s="13" t="s">
        <v>133</v>
      </c>
      <c r="F1" s="13"/>
      <c r="G1" s="9"/>
      <c r="H1" s="13" t="s">
        <v>134</v>
      </c>
      <c r="I1" s="13"/>
      <c r="K1" s="13" t="s">
        <v>135</v>
      </c>
      <c r="L1" s="13"/>
    </row>
    <row r="2" spans="1:13" x14ac:dyDescent="0.25">
      <c r="A2" t="s">
        <v>2</v>
      </c>
      <c r="C2" t="s">
        <v>125</v>
      </c>
      <c r="E2" s="5" t="s">
        <v>143</v>
      </c>
      <c r="F2" t="s">
        <v>147</v>
      </c>
      <c r="H2" s="5" t="s">
        <v>145</v>
      </c>
      <c r="I2" t="s">
        <v>147</v>
      </c>
      <c r="K2" s="5" t="s">
        <v>148</v>
      </c>
      <c r="L2" t="s">
        <v>153</v>
      </c>
    </row>
    <row r="3" spans="1:13" x14ac:dyDescent="0.25">
      <c r="A3" t="s">
        <v>3</v>
      </c>
      <c r="C3" t="s">
        <v>126</v>
      </c>
      <c r="E3" s="6" t="s">
        <v>17</v>
      </c>
      <c r="F3" s="14">
        <v>4</v>
      </c>
      <c r="H3" s="6" t="s">
        <v>14</v>
      </c>
      <c r="I3" s="14">
        <v>2</v>
      </c>
      <c r="K3" s="6" t="s">
        <v>154</v>
      </c>
      <c r="L3" s="14">
        <v>1</v>
      </c>
    </row>
    <row r="4" spans="1:13" x14ac:dyDescent="0.25">
      <c r="C4" t="s">
        <v>127</v>
      </c>
      <c r="E4" s="6" t="s">
        <v>141</v>
      </c>
      <c r="F4" s="14">
        <v>4</v>
      </c>
      <c r="H4" s="6" t="s">
        <v>27</v>
      </c>
      <c r="I4" s="14">
        <v>1</v>
      </c>
      <c r="K4" s="6" t="s">
        <v>165</v>
      </c>
      <c r="L4" s="14">
        <v>2</v>
      </c>
    </row>
    <row r="5" spans="1:13" x14ac:dyDescent="0.25">
      <c r="C5" t="s">
        <v>128</v>
      </c>
      <c r="H5" s="6" t="s">
        <v>30</v>
      </c>
      <c r="I5" s="14">
        <v>1</v>
      </c>
      <c r="K5" s="6" t="s">
        <v>155</v>
      </c>
      <c r="L5" s="14">
        <v>1</v>
      </c>
    </row>
    <row r="6" spans="1:13" x14ac:dyDescent="0.25">
      <c r="C6" t="s">
        <v>129</v>
      </c>
      <c r="H6" s="6" t="s">
        <v>141</v>
      </c>
      <c r="I6" s="14">
        <v>4</v>
      </c>
      <c r="K6" s="6" t="s">
        <v>141</v>
      </c>
      <c r="L6" s="14">
        <v>4</v>
      </c>
    </row>
    <row r="7" spans="1:13" x14ac:dyDescent="0.25">
      <c r="C7" t="s">
        <v>130</v>
      </c>
    </row>
    <row r="8" spans="1:13" x14ac:dyDescent="0.25">
      <c r="C8" t="s">
        <v>131</v>
      </c>
      <c r="K8" s="13" t="s">
        <v>136</v>
      </c>
      <c r="L8" s="13"/>
      <c r="M8" s="9"/>
    </row>
    <row r="9" spans="1:13" x14ac:dyDescent="0.25">
      <c r="C9" t="s">
        <v>132</v>
      </c>
      <c r="K9" s="5" t="s">
        <v>143</v>
      </c>
      <c r="L9" t="s">
        <v>150</v>
      </c>
    </row>
    <row r="10" spans="1:13" x14ac:dyDescent="0.25">
      <c r="H10" s="13" t="s">
        <v>137</v>
      </c>
      <c r="I10" s="13"/>
      <c r="K10" s="6" t="s">
        <v>151</v>
      </c>
      <c r="L10" s="14">
        <v>2</v>
      </c>
    </row>
    <row r="11" spans="1:13" x14ac:dyDescent="0.25">
      <c r="C11" t="s">
        <v>139</v>
      </c>
      <c r="H11" s="5" t="s">
        <v>145</v>
      </c>
      <c r="I11" s="8" t="s">
        <v>142</v>
      </c>
      <c r="K11" s="6" t="s">
        <v>152</v>
      </c>
      <c r="L11" s="14">
        <v>2</v>
      </c>
    </row>
    <row r="12" spans="1:13" x14ac:dyDescent="0.25">
      <c r="C12" t="s">
        <v>140</v>
      </c>
      <c r="H12" s="6" t="s">
        <v>14</v>
      </c>
      <c r="I12" s="8">
        <v>66780</v>
      </c>
      <c r="K12" s="6" t="s">
        <v>141</v>
      </c>
      <c r="L12" s="14">
        <v>4</v>
      </c>
    </row>
    <row r="13" spans="1:13" x14ac:dyDescent="0.25">
      <c r="C13" t="s">
        <v>133</v>
      </c>
      <c r="H13" s="6" t="s">
        <v>27</v>
      </c>
      <c r="I13" s="8">
        <v>47785</v>
      </c>
    </row>
    <row r="14" spans="1:13" x14ac:dyDescent="0.25">
      <c r="C14" t="s">
        <v>134</v>
      </c>
      <c r="H14" s="6" t="s">
        <v>30</v>
      </c>
      <c r="I14" s="8">
        <v>18940</v>
      </c>
    </row>
    <row r="15" spans="1:13" x14ac:dyDescent="0.25">
      <c r="C15" t="s">
        <v>135</v>
      </c>
      <c r="H15" s="6" t="s">
        <v>141</v>
      </c>
      <c r="I15" s="8">
        <v>133505</v>
      </c>
      <c r="K15" s="4" t="s">
        <v>163</v>
      </c>
      <c r="L15" s="4"/>
      <c r="M15" s="12"/>
    </row>
    <row r="16" spans="1:13" x14ac:dyDescent="0.25">
      <c r="C16" t="s">
        <v>136</v>
      </c>
      <c r="K16" s="5" t="s">
        <v>157</v>
      </c>
      <c r="L16" s="8" t="s">
        <v>160</v>
      </c>
    </row>
    <row r="17" spans="3:14" x14ac:dyDescent="0.25">
      <c r="C17" t="s">
        <v>137</v>
      </c>
      <c r="E17" s="7"/>
      <c r="K17" s="6" t="s">
        <v>13</v>
      </c>
      <c r="L17" s="14">
        <v>4</v>
      </c>
    </row>
    <row r="18" spans="3:14" x14ac:dyDescent="0.25">
      <c r="C18" t="s">
        <v>138</v>
      </c>
      <c r="F18" s="8"/>
      <c r="K18" s="6" t="s">
        <v>141</v>
      </c>
      <c r="L18" s="14">
        <v>4</v>
      </c>
    </row>
    <row r="20" spans="3:14" x14ac:dyDescent="0.25">
      <c r="C20" s="7" t="s">
        <v>144</v>
      </c>
    </row>
    <row r="21" spans="3:14" x14ac:dyDescent="0.25">
      <c r="E21" s="7"/>
    </row>
    <row r="22" spans="3:14" x14ac:dyDescent="0.25">
      <c r="C22" s="4" t="s">
        <v>158</v>
      </c>
      <c r="D22" s="11">
        <f>IF(COUNT(L24:L26)=2, L25, L26)</f>
        <v>133505</v>
      </c>
      <c r="K22" s="13" t="s">
        <v>162</v>
      </c>
      <c r="L22" s="13"/>
      <c r="M22" s="13"/>
      <c r="N22" s="10"/>
    </row>
    <row r="23" spans="3:14" x14ac:dyDescent="0.25">
      <c r="C23" s="4" t="s">
        <v>159</v>
      </c>
      <c r="D23" s="4">
        <f>IF(COUNT(L17:L19)=2, L18, L19)</f>
        <v>4</v>
      </c>
      <c r="K23" s="5" t="s">
        <v>157</v>
      </c>
      <c r="L23" s="8" t="s">
        <v>161</v>
      </c>
    </row>
    <row r="24" spans="3:14" x14ac:dyDescent="0.25">
      <c r="K24" s="6" t="s">
        <v>13</v>
      </c>
      <c r="L24" s="8">
        <v>133505</v>
      </c>
    </row>
    <row r="25" spans="3:14" x14ac:dyDescent="0.25">
      <c r="K25" s="6" t="s">
        <v>141</v>
      </c>
      <c r="L25" s="8">
        <v>133505</v>
      </c>
    </row>
  </sheetData>
  <mergeCells count="6">
    <mergeCell ref="E1:F1"/>
    <mergeCell ref="K22:M22"/>
    <mergeCell ref="K8:L8"/>
    <mergeCell ref="H1:I1"/>
    <mergeCell ref="K1:L1"/>
    <mergeCell ref="H10:I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8DC5-AA33-4822-B9F9-9909356564FF}">
  <sheetPr codeName="Folha3"/>
  <dimension ref="A1"/>
  <sheetViews>
    <sheetView tabSelected="1" zoomScaleNormal="100" workbookViewId="0">
      <selection activeCell="G13" sqref="G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0091-04C9-4F25-85F5-7DC6E365B1EE}">
  <sheetPr codeName="Folha4"/>
  <dimension ref="X6:X18"/>
  <sheetViews>
    <sheetView zoomScaleNormal="100" workbookViewId="0"/>
  </sheetViews>
  <sheetFormatPr defaultRowHeight="15" x14ac:dyDescent="0.25"/>
  <sheetData>
    <row r="6" spans="24:24" x14ac:dyDescent="0.25">
      <c r="X6" t="s">
        <v>156</v>
      </c>
    </row>
    <row r="18" spans="24:24" x14ac:dyDescent="0.25">
      <c r="X18" t="s">
        <v>164</v>
      </c>
    </row>
  </sheetData>
  <pageMargins left="0.7" right="0.7" top="0.75" bottom="0.75" header="0.3" footer="0.3"/>
  <pageSetup paperSize="9" orientation="landscape" r:id="rId1"/>
  <colBreaks count="1" manualBreakCount="1">
    <brk id="9" max="28" man="1"/>
  </colBreaks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A61F-B036-47FF-A454-784F5059B517}">
  <sheetPr codeName="Folha5"/>
  <dimension ref="A1"/>
  <sheetViews>
    <sheetView topLeftCell="A2" zoomScale="85" zoomScaleNormal="85" workbookViewId="0">
      <selection activeCell="R22" sqref="R2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Base de Dados</vt:lpstr>
      <vt:lpstr>Analises</vt:lpstr>
      <vt:lpstr>Imagens</vt:lpstr>
      <vt:lpstr>Dashboard</vt:lpstr>
      <vt:lpstr>Projecto final imagem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 Miguel Martins</dc:creator>
  <cp:keywords/>
  <dc:description/>
  <cp:lastModifiedBy>Omar Davide Xavier</cp:lastModifiedBy>
  <cp:revision/>
  <cp:lastPrinted>2025-02-04T14:50:08Z</cp:lastPrinted>
  <dcterms:created xsi:type="dcterms:W3CDTF">2023-08-14T04:03:29Z</dcterms:created>
  <dcterms:modified xsi:type="dcterms:W3CDTF">2025-03-10T08:34:15Z</dcterms:modified>
  <cp:category/>
  <cp:contentStatus/>
</cp:coreProperties>
</file>